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4.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5.xml" ContentType="application/vnd.openxmlformats-officedocument.drawing+xml"/>
  <Override PartName="/xl/tables/table2.xml" ContentType="application/vnd.openxmlformats-officedocument.spreadsheetml.table+xml"/>
  <Override PartName="/xl/comments2.xml" ContentType="application/vnd.openxmlformats-officedocument.spreadsheetml.comments+xml"/>
  <Override PartName="/xl/threadedComments/threadedComment1.xml" ContentType="application/vnd.ms-excel.threadedcomments+xml"/>
  <Override PartName="/xl/drawings/drawing6.xml" ContentType="application/vnd.openxmlformats-officedocument.drawing+xml"/>
  <Override PartName="/xl/ctrlProps/ctrlProp33.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26" codeName="{643B0D74-A683-FBA9-23B4-8A0AA6E0B6B9}"/>
  <workbookPr codeName="ThisWorkbook" hidePivotFieldList="1"/>
  <mc:AlternateContent xmlns:mc="http://schemas.openxmlformats.org/markup-compatibility/2006">
    <mc:Choice Requires="x15">
      <x15ac:absPath xmlns:x15ac="http://schemas.microsoft.com/office/spreadsheetml/2010/11/ac" url="/Users/drewpfitzner/Documents/Projects/Claude_Projects/Horizon/research_materials/trading_journal/"/>
    </mc:Choice>
  </mc:AlternateContent>
  <xr:revisionPtr revIDLastSave="0" documentId="8_{A3BD16D4-6196-EB4E-8D1A-E71F80F28F7A}" xr6:coauthVersionLast="47" xr6:coauthVersionMax="47" xr10:uidLastSave="{00000000-0000-0000-0000-000000000000}"/>
  <bookViews>
    <workbookView xWindow="0" yWindow="600" windowWidth="33600" windowHeight="20400" activeTab="1" xr2:uid="{4669EDF4-6E56-4CBD-9E29-4C593F1A5FD7}"/>
  </bookViews>
  <sheets>
    <sheet name="Instructions" sheetId="30" r:id="rId1"/>
    <sheet name="All Trades" sheetId="27" r:id="rId2"/>
    <sheet name="Open Trades" sheetId="28" r:id="rId3"/>
    <sheet name="Closed Trades" sheetId="29" r:id="rId4"/>
    <sheet name="Compare" sheetId="35" r:id="rId5"/>
    <sheet name="Results" sheetId="32" r:id="rId6"/>
    <sheet name="List" sheetId="38" state="veryHidden" r:id="rId7"/>
  </sheets>
  <definedNames>
    <definedName name="_xlnm._FilterDatabase" localSheetId="1" hidden="1">'All Trades'!$A$8:$AK$31</definedName>
    <definedName name="_xlnm._FilterDatabase" localSheetId="3" hidden="1">'Closed Trades'!$A$8:$AJ$9</definedName>
    <definedName name="_xlnm._FilterDatabase" localSheetId="2" hidden="1">'Open Trades'!$A$8:$AJ$12</definedName>
    <definedName name="_xlcn.WorksheetConnection_TradingDiary.xlsmtbAllTrades" hidden="1">tbAllTrades[]</definedName>
    <definedName name="BaseCurrency">Compare!$AJ$5</definedName>
    <definedName name="CombinedIn">SUMIFS(tbAllTrades[Investment In],tbAllTrades[Exit Date],"="&amp; tbAllTrades[[#This Row],[Exit Date]],tbAllTrades[Stock],tbAllTrades[[#This Row],[Stock]])</definedName>
    <definedName name="CombinedInStrategy">SUMIFS(tbAllTrades[Investment In],tbAllTrades[Exit Date],"="&amp; tbAllTrades[[#This Row],[Exit Date]],tbAllTrades[Stock],tbAllTrades[[#This Row],[Stock]],tbAllTrades[Strategy],tbAllTrades[[#This Row],[Strategy]])</definedName>
    <definedName name="Complete_In">'Closed Trades'!$K$9:$K$2996</definedName>
    <definedName name="Complete_Out">'Closed Trades'!$Q$9:$Q$2996</definedName>
    <definedName name="Complete_ROI">'Closed Trades'!$T$9:$T$2996</definedName>
    <definedName name="Complete_ROI_with_Dividend">'Closed Trades'!$Z$9:$Z$5000</definedName>
    <definedName name="_xlnm.Criteria" localSheetId="3">'Closed Trades'!$Y$1:$Y$2</definedName>
    <definedName name="_xlnm.Criteria" localSheetId="2">'Open Trades'!$Y$1:$Y$2</definedName>
    <definedName name="Current_In">'Open Trades'!$K$9:$K$271</definedName>
    <definedName name="Current_Out">'Open Trades'!$Q$9:$Q$271</definedName>
    <definedName name="Current_ROI">'Open Trades'!$T$9:$T$271</definedName>
    <definedName name="Current_ROI_with_Dividend">'Open Trades'!$Z$9:$Z$300</definedName>
    <definedName name="Exchange_Rate">Compare!$AU$5</definedName>
    <definedName name="_xlnm.Extract" localSheetId="3">'Closed Trades'!$A$8:$AK$8</definedName>
    <definedName name="_xlnm.Extract" localSheetId="2">'Open Trades'!$A$8:$AK$8</definedName>
    <definedName name="Portfolio_Balance">'All Trades'!$N$6</definedName>
    <definedName name="TodaysDate">Compare!$AJ$4</definedName>
  </definedNames>
  <calcPr calcId="191029"/>
  <pivotCaches>
    <pivotCache cacheId="42" r:id="rId8"/>
    <pivotCache cacheId="43" r:id="rId9"/>
  </pivotCaches>
  <extLst>
    <ext xmlns:x15="http://schemas.microsoft.com/office/spreadsheetml/2010/11/main" uri="{FCE2AD5D-F65C-4FA6-A056-5C36A1767C68}">
      <x15:dataModel>
        <x15:modelTables>
          <x15:modelTable id="tbAllTrades" name="tbAllTrades" connection="WorksheetConnection_Trading Diary.xlsm!tbAllTrade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41" i="32" l="1"/>
  <c r="R41" i="32"/>
  <c r="Q40" i="32"/>
  <c r="R40" i="32"/>
  <c r="Q39" i="32"/>
  <c r="R39" i="32"/>
  <c r="Q35" i="32"/>
  <c r="R35" i="32"/>
  <c r="Q34" i="32"/>
  <c r="R34" i="32"/>
  <c r="Q33" i="32"/>
  <c r="Q36" i="32" s="1"/>
  <c r="R33" i="32"/>
  <c r="Q30" i="32"/>
  <c r="R30" i="32"/>
  <c r="Q29" i="32"/>
  <c r="R29" i="32"/>
  <c r="Q25" i="32"/>
  <c r="R25" i="32"/>
  <c r="Q24" i="32"/>
  <c r="Q26" i="32" s="1"/>
  <c r="R24" i="32"/>
  <c r="Q23" i="32"/>
  <c r="Q31" i="32" s="1"/>
  <c r="R23" i="32"/>
  <c r="Q18" i="32"/>
  <c r="R18" i="32"/>
  <c r="Q17" i="32"/>
  <c r="R17" i="32"/>
  <c r="Q10" i="32"/>
  <c r="R10" i="32"/>
  <c r="Q9" i="32"/>
  <c r="R9" i="32"/>
  <c r="D41" i="32"/>
  <c r="E41" i="32"/>
  <c r="F41" i="32"/>
  <c r="F39" i="32" s="1"/>
  <c r="G41" i="32"/>
  <c r="G39" i="32" s="1"/>
  <c r="H41" i="32"/>
  <c r="I41" i="32"/>
  <c r="J41" i="32"/>
  <c r="K41" i="32"/>
  <c r="K39" i="32" s="1"/>
  <c r="L41" i="32"/>
  <c r="L39" i="32" s="1"/>
  <c r="M41" i="32"/>
  <c r="N41" i="32"/>
  <c r="O41" i="32"/>
  <c r="O39" i="32" s="1"/>
  <c r="D40" i="32"/>
  <c r="E40" i="32"/>
  <c r="F40" i="32"/>
  <c r="G40" i="32"/>
  <c r="H40" i="32"/>
  <c r="I40" i="32"/>
  <c r="J40" i="32"/>
  <c r="K40" i="32"/>
  <c r="L40" i="32"/>
  <c r="M40" i="32"/>
  <c r="N40" i="32"/>
  <c r="O40" i="32"/>
  <c r="D39" i="32"/>
  <c r="E39" i="32"/>
  <c r="H39" i="32"/>
  <c r="I39" i="32"/>
  <c r="J39" i="32"/>
  <c r="M39" i="32"/>
  <c r="N39" i="32"/>
  <c r="D35" i="32"/>
  <c r="E35" i="32"/>
  <c r="F35" i="32"/>
  <c r="G35" i="32"/>
  <c r="H35" i="32"/>
  <c r="I35" i="32"/>
  <c r="J35" i="32"/>
  <c r="K35" i="32"/>
  <c r="L35" i="32"/>
  <c r="M35" i="32"/>
  <c r="N35" i="32"/>
  <c r="O35" i="32"/>
  <c r="D34" i="32"/>
  <c r="E34" i="32"/>
  <c r="E36" i="32" s="1"/>
  <c r="F34" i="32"/>
  <c r="F36" i="32" s="1"/>
  <c r="G34" i="32"/>
  <c r="H34" i="32"/>
  <c r="I34" i="32"/>
  <c r="J34" i="32"/>
  <c r="K34" i="32"/>
  <c r="L34" i="32"/>
  <c r="M34" i="32"/>
  <c r="M36" i="32" s="1"/>
  <c r="N34" i="32"/>
  <c r="N36" i="32" s="1"/>
  <c r="O34" i="32"/>
  <c r="D33" i="32"/>
  <c r="E33" i="32"/>
  <c r="F33" i="32"/>
  <c r="G33" i="32"/>
  <c r="H33" i="32"/>
  <c r="I33" i="32"/>
  <c r="J33" i="32"/>
  <c r="K33" i="32"/>
  <c r="L33" i="32"/>
  <c r="M33" i="32"/>
  <c r="N33" i="32"/>
  <c r="O33" i="32"/>
  <c r="D30" i="32"/>
  <c r="E30" i="32"/>
  <c r="F30" i="32"/>
  <c r="G30" i="32"/>
  <c r="H30" i="32"/>
  <c r="I30" i="32"/>
  <c r="J30" i="32"/>
  <c r="K30" i="32"/>
  <c r="L30" i="32"/>
  <c r="M30" i="32"/>
  <c r="N30" i="32"/>
  <c r="O30" i="32"/>
  <c r="D29" i="32"/>
  <c r="E29" i="32"/>
  <c r="F29" i="32"/>
  <c r="G29" i="32"/>
  <c r="H29" i="32"/>
  <c r="I29" i="32"/>
  <c r="I31" i="32" s="1"/>
  <c r="J29" i="32"/>
  <c r="J31" i="32" s="1"/>
  <c r="K29" i="32"/>
  <c r="L29" i="32"/>
  <c r="M29" i="32"/>
  <c r="N29" i="32"/>
  <c r="O29" i="32"/>
  <c r="D25" i="32"/>
  <c r="E25" i="32"/>
  <c r="F25" i="32"/>
  <c r="G25" i="32"/>
  <c r="H25" i="32"/>
  <c r="I25" i="32"/>
  <c r="J25" i="32"/>
  <c r="K25" i="32"/>
  <c r="L25" i="32"/>
  <c r="M25" i="32"/>
  <c r="N25" i="32"/>
  <c r="O25" i="32"/>
  <c r="D24" i="32"/>
  <c r="E24" i="32"/>
  <c r="F24" i="32"/>
  <c r="G24" i="32"/>
  <c r="H24" i="32"/>
  <c r="I24" i="32"/>
  <c r="I26" i="32" s="1"/>
  <c r="J24" i="32"/>
  <c r="J26" i="32" s="1"/>
  <c r="K24" i="32"/>
  <c r="L24" i="32"/>
  <c r="M24" i="32"/>
  <c r="N24" i="32"/>
  <c r="O24" i="32"/>
  <c r="D23" i="32"/>
  <c r="E23" i="32"/>
  <c r="F23" i="32"/>
  <c r="G23" i="32"/>
  <c r="H23" i="32"/>
  <c r="I23" i="32"/>
  <c r="J23" i="32"/>
  <c r="K23" i="32"/>
  <c r="L23" i="32"/>
  <c r="M23" i="32"/>
  <c r="N23" i="32"/>
  <c r="O23" i="32"/>
  <c r="D21" i="32"/>
  <c r="E21" i="32"/>
  <c r="F21" i="32"/>
  <c r="G21" i="32"/>
  <c r="H21" i="32"/>
  <c r="I21" i="32"/>
  <c r="J21" i="32"/>
  <c r="K21" i="32"/>
  <c r="L21" i="32"/>
  <c r="M21" i="32"/>
  <c r="N21" i="32"/>
  <c r="O21" i="32"/>
  <c r="D20" i="32"/>
  <c r="E20" i="32"/>
  <c r="F20" i="32"/>
  <c r="G20" i="32"/>
  <c r="H20" i="32"/>
  <c r="I20" i="32"/>
  <c r="J20" i="32"/>
  <c r="K20" i="32"/>
  <c r="L20" i="32"/>
  <c r="M20" i="32"/>
  <c r="N20" i="32"/>
  <c r="O20" i="32"/>
  <c r="D18" i="32"/>
  <c r="E18" i="32"/>
  <c r="F18" i="32"/>
  <c r="G18" i="32"/>
  <c r="H18" i="32"/>
  <c r="I18" i="32"/>
  <c r="J18" i="32"/>
  <c r="K18" i="32"/>
  <c r="L18" i="32"/>
  <c r="M18" i="32"/>
  <c r="N18" i="32"/>
  <c r="O18" i="32"/>
  <c r="D17" i="32"/>
  <c r="E17" i="32"/>
  <c r="F17" i="32"/>
  <c r="G17" i="32"/>
  <c r="H17" i="32"/>
  <c r="I17" i="32"/>
  <c r="J17" i="32"/>
  <c r="K17" i="32"/>
  <c r="L17" i="32"/>
  <c r="M17" i="32"/>
  <c r="N17" i="32"/>
  <c r="O17" i="32"/>
  <c r="D13" i="32"/>
  <c r="E13" i="32"/>
  <c r="F13" i="32"/>
  <c r="G13" i="32"/>
  <c r="H13" i="32"/>
  <c r="I13" i="32"/>
  <c r="J13" i="32"/>
  <c r="K13" i="32"/>
  <c r="L13" i="32"/>
  <c r="M13" i="32"/>
  <c r="N13" i="32"/>
  <c r="O13" i="32"/>
  <c r="D12" i="32"/>
  <c r="E12" i="32"/>
  <c r="F12" i="32"/>
  <c r="G12" i="32"/>
  <c r="H12" i="32"/>
  <c r="I12" i="32"/>
  <c r="J12" i="32"/>
  <c r="K12" i="32"/>
  <c r="L12" i="32"/>
  <c r="M12" i="32"/>
  <c r="N12" i="32"/>
  <c r="O12" i="32"/>
  <c r="D10" i="32"/>
  <c r="E10" i="32"/>
  <c r="F10" i="32"/>
  <c r="G10" i="32"/>
  <c r="H10" i="32"/>
  <c r="I10" i="32"/>
  <c r="J10" i="32"/>
  <c r="K10" i="32"/>
  <c r="L10" i="32"/>
  <c r="M10" i="32"/>
  <c r="N10" i="32"/>
  <c r="O10" i="32"/>
  <c r="D9" i="32"/>
  <c r="E9" i="32"/>
  <c r="F9" i="32"/>
  <c r="G9" i="32"/>
  <c r="H9" i="32"/>
  <c r="I9" i="32"/>
  <c r="J9" i="32"/>
  <c r="K9" i="32"/>
  <c r="L9" i="32"/>
  <c r="M9" i="32"/>
  <c r="N9" i="32"/>
  <c r="O9" i="32"/>
  <c r="AB10" i="27"/>
  <c r="AB11" i="27"/>
  <c r="AB12" i="27"/>
  <c r="AB13" i="27"/>
  <c r="AB14" i="27"/>
  <c r="AB15" i="27"/>
  <c r="AB16" i="27"/>
  <c r="AB17" i="27"/>
  <c r="AB18" i="27"/>
  <c r="AB19" i="27"/>
  <c r="AB20" i="27"/>
  <c r="AB21" i="27"/>
  <c r="AB22" i="27"/>
  <c r="AB23" i="27"/>
  <c r="AB24" i="27"/>
  <c r="AB25" i="27"/>
  <c r="AB26" i="27"/>
  <c r="AB27" i="27"/>
  <c r="AB28" i="27"/>
  <c r="AB29" i="27"/>
  <c r="AB30" i="27"/>
  <c r="AB31" i="27"/>
  <c r="AJ4" i="35"/>
  <c r="AI11" i="27" s="1"/>
  <c r="A4" i="38" a="1"/>
  <c r="A4" i="38" s="1"/>
  <c r="R6" i="32"/>
  <c r="Q6" i="32" a="1"/>
  <c r="Q6" i="32" s="1"/>
  <c r="O6" i="32"/>
  <c r="N6" i="32"/>
  <c r="M6" i="32"/>
  <c r="L6" i="32"/>
  <c r="K6" i="32"/>
  <c r="J6" i="32"/>
  <c r="I6" i="32"/>
  <c r="H6" i="32"/>
  <c r="G6" i="32"/>
  <c r="F6" i="32"/>
  <c r="E6" i="32"/>
  <c r="D6" i="32"/>
  <c r="AK11" i="35"/>
  <c r="AK11" i="35" a="1"/>
  <c r="AA11" i="35" a="1"/>
  <c r="AA11" i="35" s="1"/>
  <c r="AK10" i="35"/>
  <c r="AK10" i="35" a="1"/>
  <c r="AA10" i="35" a="1"/>
  <c r="AA10" i="35" s="1"/>
  <c r="AK9" i="35" a="1"/>
  <c r="AK9" i="35" s="1"/>
  <c r="AK8" i="35" a="1"/>
  <c r="AK8" i="35" s="1"/>
  <c r="AI7" i="35"/>
  <c r="Y7" i="35" a="1"/>
  <c r="Z6" i="29"/>
  <c r="T6" i="29"/>
  <c r="Q6" i="29"/>
  <c r="K6" i="29"/>
  <c r="Z6" i="28"/>
  <c r="T6" i="28"/>
  <c r="Q6" i="28"/>
  <c r="K6" i="28"/>
  <c r="AH31" i="27"/>
  <c r="AF31" i="27"/>
  <c r="AC31" i="27"/>
  <c r="AA31" i="27"/>
  <c r="Z31" i="27"/>
  <c r="Y31" i="27"/>
  <c r="V31" i="27"/>
  <c r="U31" i="27"/>
  <c r="T31" i="27"/>
  <c r="Q31" i="27"/>
  <c r="M31" i="27"/>
  <c r="K31" i="27"/>
  <c r="AE31" i="27" s="1"/>
  <c r="AH30" i="27"/>
  <c r="AF30" i="27"/>
  <c r="AC30" i="27"/>
  <c r="AA30" i="27"/>
  <c r="Z30" i="27"/>
  <c r="Y30" i="27"/>
  <c r="V30" i="27"/>
  <c r="U30" i="27"/>
  <c r="T30" i="27"/>
  <c r="Q30" i="27"/>
  <c r="M30" i="27"/>
  <c r="K30" i="27"/>
  <c r="AE30" i="27" s="1"/>
  <c r="AH29" i="27"/>
  <c r="AF29" i="27"/>
  <c r="AC29" i="27"/>
  <c r="AA29" i="27"/>
  <c r="Z29" i="27"/>
  <c r="Y29" i="27"/>
  <c r="V29" i="27"/>
  <c r="U29" i="27"/>
  <c r="T29" i="27"/>
  <c r="Q29" i="27"/>
  <c r="M29" i="27"/>
  <c r="K29" i="27"/>
  <c r="AE29" i="27" s="1"/>
  <c r="AH28" i="27"/>
  <c r="AF28" i="27"/>
  <c r="AC28" i="27"/>
  <c r="AA28" i="27"/>
  <c r="Z28" i="27"/>
  <c r="Y28" i="27"/>
  <c r="V28" i="27"/>
  <c r="U28" i="27"/>
  <c r="T28" i="27"/>
  <c r="Q28" i="27"/>
  <c r="M28" i="27"/>
  <c r="K28" i="27"/>
  <c r="AE28" i="27" s="1"/>
  <c r="AH27" i="27"/>
  <c r="AF27" i="27"/>
  <c r="AC27" i="27"/>
  <c r="AA27" i="27"/>
  <c r="Z27" i="27"/>
  <c r="Y27" i="27"/>
  <c r="V27" i="27"/>
  <c r="U27" i="27"/>
  <c r="T27" i="27"/>
  <c r="Q27" i="27"/>
  <c r="M27" i="27"/>
  <c r="K27" i="27"/>
  <c r="AE27" i="27" s="1"/>
  <c r="AH26" i="27"/>
  <c r="AF26" i="27"/>
  <c r="AC26" i="27"/>
  <c r="AA26" i="27"/>
  <c r="Z26" i="27"/>
  <c r="Y26" i="27"/>
  <c r="V26" i="27"/>
  <c r="U26" i="27"/>
  <c r="T26" i="27"/>
  <c r="Q26" i="27"/>
  <c r="M26" i="27"/>
  <c r="K26" i="27"/>
  <c r="AE26" i="27" s="1"/>
  <c r="AH25" i="27"/>
  <c r="AF25" i="27"/>
  <c r="AC25" i="27"/>
  <c r="AA25" i="27"/>
  <c r="Z25" i="27"/>
  <c r="Y25" i="27"/>
  <c r="V25" i="27"/>
  <c r="U25" i="27"/>
  <c r="T25" i="27"/>
  <c r="Q25" i="27"/>
  <c r="M25" i="27"/>
  <c r="K25" i="27"/>
  <c r="AE25" i="27" s="1"/>
  <c r="AH24" i="27"/>
  <c r="AF24" i="27"/>
  <c r="AC24" i="27"/>
  <c r="AA24" i="27"/>
  <c r="Z24" i="27"/>
  <c r="Y24" i="27"/>
  <c r="V24" i="27"/>
  <c r="U24" i="27"/>
  <c r="T24" i="27"/>
  <c r="Q24" i="27"/>
  <c r="M24" i="27"/>
  <c r="K24" i="27"/>
  <c r="AE24" i="27" s="1"/>
  <c r="AH23" i="27"/>
  <c r="AF23" i="27"/>
  <c r="AC23" i="27"/>
  <c r="AA23" i="27"/>
  <c r="Z23" i="27"/>
  <c r="Y23" i="27"/>
  <c r="V23" i="27"/>
  <c r="U23" i="27"/>
  <c r="T23" i="27"/>
  <c r="Q23" i="27"/>
  <c r="M23" i="27"/>
  <c r="K23" i="27"/>
  <c r="AE23" i="27" s="1"/>
  <c r="AH22" i="27"/>
  <c r="AF22" i="27"/>
  <c r="AC22" i="27"/>
  <c r="AA22" i="27"/>
  <c r="Z22" i="27"/>
  <c r="Y22" i="27"/>
  <c r="V22" i="27"/>
  <c r="U22" i="27"/>
  <c r="T22" i="27"/>
  <c r="Q22" i="27"/>
  <c r="M22" i="27"/>
  <c r="K22" i="27"/>
  <c r="AE22" i="27" s="1"/>
  <c r="AH21" i="27"/>
  <c r="AF21" i="27"/>
  <c r="AC21" i="27"/>
  <c r="AA21" i="27"/>
  <c r="Z21" i="27"/>
  <c r="Y21" i="27"/>
  <c r="V21" i="27"/>
  <c r="U21" i="27"/>
  <c r="T21" i="27"/>
  <c r="Q21" i="27"/>
  <c r="M21" i="27"/>
  <c r="K21" i="27"/>
  <c r="AE21" i="27" s="1"/>
  <c r="AH20" i="27"/>
  <c r="AF20" i="27"/>
  <c r="AC20" i="27"/>
  <c r="AA20" i="27"/>
  <c r="Z20" i="27"/>
  <c r="Y20" i="27"/>
  <c r="V20" i="27"/>
  <c r="U20" i="27"/>
  <c r="T20" i="27"/>
  <c r="Q20" i="27"/>
  <c r="M20" i="27"/>
  <c r="K20" i="27"/>
  <c r="AE20" i="27" s="1"/>
  <c r="AH19" i="27"/>
  <c r="AF19" i="27"/>
  <c r="AC19" i="27"/>
  <c r="AA19" i="27"/>
  <c r="Z19" i="27"/>
  <c r="Y19" i="27"/>
  <c r="V19" i="27"/>
  <c r="U19" i="27"/>
  <c r="T19" i="27"/>
  <c r="Q19" i="27"/>
  <c r="M19" i="27"/>
  <c r="K19" i="27"/>
  <c r="AE19" i="27" s="1"/>
  <c r="AH18" i="27"/>
  <c r="AF18" i="27"/>
  <c r="AC18" i="27"/>
  <c r="AA18" i="27"/>
  <c r="Z18" i="27"/>
  <c r="Y18" i="27"/>
  <c r="V18" i="27"/>
  <c r="U18" i="27"/>
  <c r="T18" i="27"/>
  <c r="Q18" i="27"/>
  <c r="M18" i="27"/>
  <c r="K18" i="27"/>
  <c r="AE18" i="27" s="1"/>
  <c r="AH17" i="27"/>
  <c r="AF17" i="27"/>
  <c r="AC17" i="27"/>
  <c r="AA17" i="27"/>
  <c r="Z17" i="27"/>
  <c r="Y17" i="27"/>
  <c r="V17" i="27"/>
  <c r="U17" i="27"/>
  <c r="T17" i="27"/>
  <c r="Q17" i="27"/>
  <c r="M17" i="27"/>
  <c r="K17" i="27"/>
  <c r="AE17" i="27" s="1"/>
  <c r="AH16" i="27"/>
  <c r="AF16" i="27"/>
  <c r="AC16" i="27"/>
  <c r="AA16" i="27"/>
  <c r="Z16" i="27"/>
  <c r="Y16" i="27"/>
  <c r="V16" i="27"/>
  <c r="U16" i="27"/>
  <c r="T16" i="27"/>
  <c r="Q16" i="27"/>
  <c r="M16" i="27"/>
  <c r="K16" i="27"/>
  <c r="AE16" i="27" s="1"/>
  <c r="AH15" i="27"/>
  <c r="AF15" i="27"/>
  <c r="AC15" i="27"/>
  <c r="AA15" i="27"/>
  <c r="Z15" i="27"/>
  <c r="Y15" i="27"/>
  <c r="V15" i="27"/>
  <c r="U15" i="27"/>
  <c r="T15" i="27"/>
  <c r="Q15" i="27"/>
  <c r="M15" i="27"/>
  <c r="K15" i="27"/>
  <c r="AE15" i="27" s="1"/>
  <c r="AH14" i="27"/>
  <c r="AF14" i="27"/>
  <c r="AC14" i="27"/>
  <c r="AA14" i="27"/>
  <c r="Z14" i="27"/>
  <c r="Y14" i="27"/>
  <c r="V14" i="27"/>
  <c r="U14" i="27"/>
  <c r="T14" i="27"/>
  <c r="Q14" i="27"/>
  <c r="M14" i="27"/>
  <c r="K14" i="27"/>
  <c r="AE14" i="27" s="1"/>
  <c r="AH13" i="27"/>
  <c r="AF13" i="27"/>
  <c r="AC13" i="27"/>
  <c r="AA13" i="27"/>
  <c r="Z13" i="27"/>
  <c r="Y13" i="27"/>
  <c r="V13" i="27"/>
  <c r="U13" i="27"/>
  <c r="T13" i="27"/>
  <c r="Q13" i="27"/>
  <c r="M13" i="27"/>
  <c r="K13" i="27"/>
  <c r="AE13" i="27" s="1"/>
  <c r="AH12" i="27"/>
  <c r="AF12" i="27"/>
  <c r="AC12" i="27"/>
  <c r="AA12" i="27"/>
  <c r="Z12" i="27"/>
  <c r="Y12" i="27"/>
  <c r="V12" i="27"/>
  <c r="U12" i="27"/>
  <c r="T12" i="27"/>
  <c r="Q12" i="27"/>
  <c r="M12" i="27"/>
  <c r="K12" i="27"/>
  <c r="AE12" i="27" s="1"/>
  <c r="AH11" i="27"/>
  <c r="AF11" i="27"/>
  <c r="AC11" i="27"/>
  <c r="AA11" i="27"/>
  <c r="Z11" i="27"/>
  <c r="Y11" i="27"/>
  <c r="V11" i="27"/>
  <c r="U11" i="27"/>
  <c r="T11" i="27"/>
  <c r="Q11" i="27"/>
  <c r="M11" i="27"/>
  <c r="K11" i="27"/>
  <c r="AE11" i="27" s="1"/>
  <c r="AH10" i="27"/>
  <c r="AF10" i="27"/>
  <c r="AC10" i="27"/>
  <c r="AA10" i="27"/>
  <c r="Z10" i="27"/>
  <c r="Y10" i="27"/>
  <c r="V10" i="27"/>
  <c r="U10" i="27"/>
  <c r="T10" i="27"/>
  <c r="Q10" i="27"/>
  <c r="M10" i="27"/>
  <c r="K10" i="27"/>
  <c r="AE10" i="27" s="1"/>
  <c r="AH9" i="27"/>
  <c r="AC9" i="27"/>
  <c r="Z9" i="27"/>
  <c r="AA9" i="27" s="1"/>
  <c r="Y9" i="27"/>
  <c r="V9" i="27"/>
  <c r="T9" i="27"/>
  <c r="U9" i="27" s="1"/>
  <c r="Q9" i="27"/>
  <c r="M9" i="27"/>
  <c r="K9" i="27"/>
  <c r="AE9" i="27" s="1"/>
  <c r="AF9" i="27" s="1"/>
  <c r="K26" i="32" l="1"/>
  <c r="K31" i="32"/>
  <c r="O36" i="32"/>
  <c r="G36" i="32"/>
  <c r="R26" i="32"/>
  <c r="R36" i="32"/>
  <c r="L26" i="32"/>
  <c r="D26" i="32"/>
  <c r="L31" i="32"/>
  <c r="D31" i="32"/>
  <c r="H36" i="32"/>
  <c r="R31" i="32"/>
  <c r="M26" i="32"/>
  <c r="E26" i="32"/>
  <c r="M31" i="32"/>
  <c r="E31" i="32"/>
  <c r="I36" i="32"/>
  <c r="H26" i="32"/>
  <c r="H31" i="32"/>
  <c r="L36" i="32"/>
  <c r="D36" i="32"/>
  <c r="O26" i="32"/>
  <c r="G26" i="32"/>
  <c r="O31" i="32"/>
  <c r="G31" i="32"/>
  <c r="K36" i="32"/>
  <c r="N26" i="32"/>
  <c r="F26" i="32"/>
  <c r="N31" i="32"/>
  <c r="F31" i="32"/>
  <c r="J36" i="32"/>
  <c r="AB9" i="27"/>
  <c r="AG19" i="27"/>
  <c r="N19" i="27" s="1"/>
  <c r="AG30" i="27"/>
  <c r="N30" i="27" s="1"/>
  <c r="AG10" i="27"/>
  <c r="N10" i="27" s="1"/>
  <c r="AG21" i="27"/>
  <c r="N21" i="27" s="1"/>
  <c r="AG12" i="27"/>
  <c r="N12" i="27" s="1"/>
  <c r="AG23" i="27"/>
  <c r="N23" i="27" s="1"/>
  <c r="AG16" i="27"/>
  <c r="N16" i="27" s="1"/>
  <c r="AG25" i="27"/>
  <c r="N25" i="27" s="1"/>
  <c r="AG27" i="27"/>
  <c r="N27" i="27" s="1"/>
  <c r="AG29" i="27"/>
  <c r="N29" i="27" s="1"/>
  <c r="AG11" i="27"/>
  <c r="N11" i="27" s="1"/>
  <c r="AG20" i="27"/>
  <c r="N20" i="27" s="1"/>
  <c r="AG31" i="27"/>
  <c r="N31" i="27" s="1"/>
  <c r="AG13" i="27"/>
  <c r="N13" i="27" s="1"/>
  <c r="AG22" i="27"/>
  <c r="N22" i="27" s="1"/>
  <c r="AG15" i="27"/>
  <c r="N15" i="27" s="1"/>
  <c r="AG24" i="27"/>
  <c r="N24" i="27" s="1"/>
  <c r="AG14" i="27"/>
  <c r="N14" i="27" s="1"/>
  <c r="AG18" i="27"/>
  <c r="N18" i="27" s="1"/>
  <c r="AG9" i="27"/>
  <c r="N9" i="27" s="1"/>
  <c r="AG17" i="27"/>
  <c r="N17" i="27" s="1"/>
  <c r="AG26" i="27"/>
  <c r="N26" i="27" s="1"/>
  <c r="AG28" i="27"/>
  <c r="N28" i="27" s="1"/>
  <c r="V6" i="28"/>
  <c r="AB6" i="28"/>
  <c r="AD10" i="27"/>
  <c r="AD27" i="27"/>
  <c r="W12" i="27"/>
  <c r="W15" i="27"/>
  <c r="AD13" i="27"/>
  <c r="W29" i="27"/>
  <c r="AD15" i="27"/>
  <c r="W17" i="27"/>
  <c r="AD9" i="27"/>
  <c r="W11" i="27"/>
  <c r="AD21" i="27"/>
  <c r="AD16" i="27"/>
  <c r="AD11" i="27"/>
  <c r="AD12" i="27"/>
  <c r="AD22" i="27"/>
  <c r="AD28" i="27"/>
  <c r="W30" i="27"/>
  <c r="AD23" i="27"/>
  <c r="W25" i="27"/>
  <c r="AD18" i="27"/>
  <c r="W20" i="27"/>
  <c r="AD26" i="27"/>
  <c r="AD25" i="27"/>
  <c r="W27" i="27"/>
  <c r="W10" i="27"/>
  <c r="AD30" i="27"/>
  <c r="AD20" i="27"/>
  <c r="W22" i="27"/>
  <c r="W24" i="27"/>
  <c r="AD17" i="27"/>
  <c r="W19" i="27"/>
  <c r="W14" i="27"/>
  <c r="W9" i="27"/>
  <c r="AD29" i="27"/>
  <c r="AD24" i="27"/>
  <c r="W26" i="27"/>
  <c r="AD19" i="27"/>
  <c r="W21" i="27"/>
  <c r="AD14" i="27"/>
  <c r="W16" i="27"/>
  <c r="W13" i="27"/>
  <c r="W28" i="27"/>
  <c r="W31" i="27"/>
  <c r="W18" i="27"/>
  <c r="AD31" i="27"/>
  <c r="W23" i="27"/>
  <c r="Y7" i="35"/>
  <c r="Z7" i="35" s="1" a="1"/>
  <c r="Z7" i="35" s="1"/>
  <c r="Z12" i="35" s="1"/>
  <c r="AA9" i="35" a="1"/>
  <c r="AA9" i="35" s="1"/>
  <c r="V6" i="29"/>
  <c r="AB6" i="29"/>
  <c r="AI30" i="27"/>
  <c r="AA8" i="35" a="1"/>
  <c r="AA8" i="35" s="1"/>
  <c r="AI25" i="27"/>
  <c r="AI20" i="27"/>
  <c r="AI15" i="27"/>
  <c r="AI10" i="27"/>
  <c r="AI19" i="27"/>
  <c r="AI14" i="27"/>
  <c r="AI9" i="27"/>
  <c r="AI13" i="27"/>
  <c r="AI27" i="27"/>
  <c r="AI16" i="27"/>
  <c r="AI31" i="27"/>
  <c r="AI22" i="27"/>
  <c r="AI26" i="27"/>
  <c r="AI24" i="27"/>
  <c r="AI21" i="27"/>
  <c r="AI18" i="27"/>
  <c r="AI29" i="27"/>
  <c r="AI12" i="27"/>
  <c r="AI23" i="27"/>
  <c r="AI17" i="27"/>
  <c r="AI28" i="27"/>
  <c r="AA7" i="35" l="1" a="1"/>
  <c r="AA7" i="35" s="1"/>
  <c r="AA12" i="3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Tricia Butler</author>
    <author>Terry Tran</author>
  </authors>
  <commentList>
    <comment ref="N6" authorId="0" shapeId="0" xr:uid="{1D81AC2F-466B-409F-B618-0801728382DE}">
      <text>
        <r>
          <rPr>
            <b/>
            <sz val="9"/>
            <color rgb="FF000000"/>
            <rFont val="Tahoma"/>
            <family val="2"/>
          </rPr>
          <t xml:space="preserve">Portfolio Balance:
</t>
        </r>
        <r>
          <rPr>
            <sz val="9"/>
            <color rgb="FF000000"/>
            <rFont val="Tahoma"/>
            <family val="2"/>
          </rPr>
          <t xml:space="preserve">Your entire Portfolio Balance including cash in your Base Currency. The Net Liquidity balance in IB.
</t>
        </r>
      </text>
    </comment>
    <comment ref="C8" authorId="0" shapeId="0" xr:uid="{91E68B82-B197-40A1-BED0-E6ACE16826F0}">
      <text>
        <r>
          <rPr>
            <b/>
            <sz val="9"/>
            <color rgb="FF000000"/>
            <rFont val="Tahoma"/>
            <family val="2"/>
          </rPr>
          <t>Currency:</t>
        </r>
        <r>
          <rPr>
            <sz val="9"/>
            <color rgb="FF000000"/>
            <rFont val="Tahoma"/>
            <family val="2"/>
          </rPr>
          <t xml:space="preserve">
</t>
        </r>
        <r>
          <rPr>
            <sz val="9"/>
            <color rgb="FF000000"/>
            <rFont val="Tahoma"/>
            <family val="2"/>
          </rPr>
          <t>Record USD, AUD, NZD, SGD etc. for stocks. For Foreign Exchange record FX</t>
        </r>
      </text>
    </comment>
    <comment ref="G8" authorId="0" shapeId="0" xr:uid="{DAA2DC3F-2132-4662-885B-6B04B3931699}">
      <text>
        <r>
          <rPr>
            <sz val="9"/>
            <color indexed="81"/>
            <rFont val="Tahoma"/>
            <family val="2"/>
          </rPr>
          <t xml:space="preserve">Trade, Invest, (any other strategy you might be using) or Blank
</t>
        </r>
      </text>
    </comment>
    <comment ref="K8" authorId="1" shapeId="0" xr:uid="{00000000-0006-0000-0100-000001000000}">
      <text>
        <r>
          <rPr>
            <b/>
            <sz val="9"/>
            <color indexed="81"/>
            <rFont val="Tahoma"/>
            <family val="2"/>
          </rPr>
          <t xml:space="preserve">Formula: 
</t>
        </r>
        <r>
          <rPr>
            <sz val="9"/>
            <color indexed="81"/>
            <rFont val="Tahoma"/>
            <family val="2"/>
          </rPr>
          <t>Entry Price x #Shares</t>
        </r>
      </text>
    </comment>
    <comment ref="L8" authorId="0" shapeId="0" xr:uid="{99C86610-038A-437B-A136-69AA1DCD5FDD}">
      <text>
        <r>
          <rPr>
            <sz val="9"/>
            <color rgb="FF000000"/>
            <rFont val="Tahoma"/>
            <family val="2"/>
          </rPr>
          <t>Record Position size Percentage for Longs and Shorts. For Foreign Exchange leave blank.</t>
        </r>
      </text>
    </comment>
    <comment ref="M8" authorId="0" shapeId="0" xr:uid="{00000000-0006-0000-0100-000002000000}">
      <text>
        <r>
          <rPr>
            <sz val="9"/>
            <color rgb="FF000000"/>
            <rFont val="Tahoma"/>
            <family val="2"/>
          </rPr>
          <t xml:space="preserve">Totals Position Sizes with the same Sell Date and same Strategy
</t>
        </r>
      </text>
    </comment>
    <comment ref="Q8" authorId="1" shapeId="0" xr:uid="{00000000-0006-0000-0100-000003000000}">
      <text>
        <r>
          <rPr>
            <b/>
            <sz val="9"/>
            <color rgb="FF000000"/>
            <rFont val="Tahoma"/>
            <family val="2"/>
          </rPr>
          <t xml:space="preserve">Formula:
</t>
        </r>
        <r>
          <rPr>
            <sz val="9"/>
            <color rgb="FF000000"/>
            <rFont val="Tahoma"/>
            <family val="2"/>
          </rPr>
          <t>Exit Price x #Shares</t>
        </r>
      </text>
    </comment>
    <comment ref="R8" authorId="0" shapeId="0" xr:uid="{00000000-0006-0000-0100-000004000000}">
      <text>
        <r>
          <rPr>
            <sz val="9"/>
            <color rgb="FF000000"/>
            <rFont val="Tahoma"/>
            <family val="2"/>
          </rPr>
          <t>Record Y if stock is sold short and F if FX sold short otherwise leave blank</t>
        </r>
      </text>
    </comment>
    <comment ref="S8" authorId="0" shapeId="0" xr:uid="{A0509A06-55D7-4DF2-89B3-8DD8910F9D98}">
      <text>
        <r>
          <rPr>
            <sz val="9"/>
            <color rgb="FF000000"/>
            <rFont val="Tahoma"/>
            <family val="2"/>
          </rPr>
          <t>Brokerage Fee</t>
        </r>
      </text>
    </comment>
    <comment ref="T8" authorId="1" shapeId="0" xr:uid="{42A4BB53-56AA-44D5-88F1-C279A001FA6B}">
      <text>
        <r>
          <rPr>
            <b/>
            <sz val="9"/>
            <color indexed="81"/>
            <rFont val="Tahoma"/>
            <family val="2"/>
          </rPr>
          <t xml:space="preserve">Formula:
Longs: </t>
        </r>
        <r>
          <rPr>
            <sz val="9"/>
            <color indexed="81"/>
            <rFont val="Tahoma"/>
            <family val="2"/>
          </rPr>
          <t xml:space="preserve">Investment Out - Investment In - Commission
Value shows when "Sell Price" entered otherwise cell is Blank
</t>
        </r>
        <r>
          <rPr>
            <b/>
            <sz val="9"/>
            <color indexed="81"/>
            <rFont val="Tahoma"/>
            <family val="2"/>
          </rPr>
          <t>Shorts:</t>
        </r>
        <r>
          <rPr>
            <sz val="9"/>
            <color indexed="81"/>
            <rFont val="Tahoma"/>
            <family val="2"/>
          </rPr>
          <t xml:space="preserve"> Investment In - Investment Out - Commission</t>
        </r>
      </text>
    </comment>
    <comment ref="X8" authorId="0" shapeId="0" xr:uid="{00000000-0006-0000-0100-000005000000}">
      <text>
        <r>
          <rPr>
            <sz val="9"/>
            <color rgb="FF000000"/>
            <rFont val="Tahoma"/>
            <family val="2"/>
          </rPr>
          <t>Record Dividends as cents per share.</t>
        </r>
      </text>
    </comment>
    <comment ref="Y8" authorId="0" shapeId="0" xr:uid="{00000000-0006-0000-0100-000006000000}">
      <text>
        <r>
          <rPr>
            <b/>
            <sz val="9"/>
            <color indexed="81"/>
            <rFont val="Tahoma"/>
            <family val="2"/>
          </rPr>
          <t>Formula:</t>
        </r>
        <r>
          <rPr>
            <sz val="9"/>
            <color indexed="81"/>
            <rFont val="Tahoma"/>
            <family val="2"/>
          </rPr>
          <t xml:space="preserve">
Dividends (cents) x # Shares</t>
        </r>
      </text>
    </comment>
    <comment ref="Z8" authorId="1" shapeId="0" xr:uid="{00000000-0006-0000-0100-000007000000}">
      <text>
        <r>
          <rPr>
            <b/>
            <sz val="9"/>
            <color indexed="81"/>
            <rFont val="Tahoma"/>
            <family val="2"/>
          </rPr>
          <t xml:space="preserve">Formula:
Longs: </t>
        </r>
        <r>
          <rPr>
            <sz val="9"/>
            <color indexed="81"/>
            <rFont val="Tahoma"/>
            <family val="2"/>
          </rPr>
          <t xml:space="preserve">Investment Out - Investment In + Dividend Total - Commission
Value shows when "Sell Price" entered otherwise cell is Blank
</t>
        </r>
        <r>
          <rPr>
            <b/>
            <sz val="9"/>
            <color indexed="81"/>
            <rFont val="Tahoma"/>
            <family val="2"/>
          </rPr>
          <t>Shorts:</t>
        </r>
        <r>
          <rPr>
            <sz val="9"/>
            <color indexed="81"/>
            <rFont val="Tahoma"/>
            <family val="2"/>
          </rPr>
          <t xml:space="preserve"> Investment In - Investment Out - Dividend Total - Commission</t>
        </r>
      </text>
    </comment>
    <comment ref="AC8" authorId="1" shapeId="0" xr:uid="{00000000-0006-0000-0100-000008000000}">
      <text>
        <r>
          <rPr>
            <b/>
            <sz val="9"/>
            <color indexed="81"/>
            <rFont val="Tahoma"/>
            <family val="2"/>
          </rPr>
          <t xml:space="preserve">Formula:
</t>
        </r>
        <r>
          <rPr>
            <sz val="9"/>
            <color indexed="81"/>
            <rFont val="Tahoma"/>
            <family val="2"/>
          </rPr>
          <t>ROI ($) / Investment In
Value shows when "Sell Price" entered otherwise cell is Blank</t>
        </r>
      </text>
    </comment>
    <comment ref="AH8" authorId="1" shapeId="0" xr:uid="{00000000-0006-0000-0100-000009000000}">
      <text>
        <r>
          <rPr>
            <b/>
            <sz val="9"/>
            <color indexed="81"/>
            <rFont val="Tahoma"/>
            <family val="2"/>
          </rPr>
          <t xml:space="preserve">Formula:
</t>
        </r>
        <r>
          <rPr>
            <sz val="9"/>
            <color indexed="81"/>
            <rFont val="Tahoma"/>
            <family val="2"/>
          </rPr>
          <t>=ROI (%) x (365/Days)
Value shows when "Sell Price" entered otherwise cell is Blank</t>
        </r>
      </text>
    </comment>
    <comment ref="AK8" authorId="0" shapeId="0" xr:uid="{F18E6F12-E58E-42B0-BF51-E07A7E615BAB}">
      <text>
        <r>
          <rPr>
            <sz val="9"/>
            <color indexed="81"/>
            <rFont val="Tahoma"/>
            <family val="2"/>
          </rPr>
          <t xml:space="preserve">Spare Column to use for whatever you wish. You can also change the title of the column.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tc={3528158B-5568-423D-B620-A53E73F04B64}</author>
    <author>Tricia Butler</author>
  </authors>
  <commentList>
    <comment ref="AB1" authorId="0" shapeId="0" xr:uid="{3528158B-5568-423D-B620-A53E73F04B64}">
      <text>
        <t>[Threaded comment]
Your version of Excel allows you to read this threaded comment; however, any edits to it will get removed if the file is opened in a newer version of Excel. Learn more: https://go.microsoft.com/fwlink/?linkid=870924
Comment:
    If you have a Mac click the plus sign above.</t>
      </text>
    </comment>
    <comment ref="AJ6" authorId="1" shapeId="0" xr:uid="{8338857C-60B7-4A04-8176-09290FA7EEA9}">
      <text>
        <r>
          <rPr>
            <b/>
            <sz val="9"/>
            <color indexed="81"/>
            <rFont val="Tahoma"/>
            <family val="2"/>
          </rPr>
          <t xml:space="preserve">Currency Pair
Base Currency/Other Currency i.e.
</t>
        </r>
        <r>
          <rPr>
            <sz val="9"/>
            <color indexed="81"/>
            <rFont val="Tahoma"/>
            <family val="2"/>
          </rPr>
          <t>Base Currency is AUD
USD - AUD/USD
GBP - AUD/GBP</t>
        </r>
        <r>
          <rPr>
            <b/>
            <sz val="9"/>
            <color indexed="81"/>
            <rFont val="Tahoma"/>
            <family val="2"/>
          </rPr>
          <t xml:space="preserve">
</t>
        </r>
        <r>
          <rPr>
            <sz val="9"/>
            <color indexed="81"/>
            <rFont val="Tahoma"/>
            <family val="2"/>
          </rPr>
          <t xml:space="preserve">
Base Currency is NZD
USD - NZD/USD
GBP - NZD/GBP</t>
        </r>
        <r>
          <rPr>
            <b/>
            <sz val="9"/>
            <color indexed="81"/>
            <rFont val="Tahoma"/>
            <family val="2"/>
          </rPr>
          <t xml:space="preserve">
</t>
        </r>
        <r>
          <rPr>
            <sz val="9"/>
            <color indexed="81"/>
            <rFont val="Tahoma"/>
            <family val="2"/>
          </rPr>
          <t xml:space="preserve">If the Currency Pair doesn't show with a little building next to it - go to Data, data types and click "Stocks" - Only available in 365
If you don't have 365 you can manually update the Exchange Rate periodically.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F5BE255-4922-4BE6-8657-F1A6753469C2}"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B23EB9A-EEF7-4B6E-B8C4-859D65BD6586}" name="WorksheetConnection_Trading Diary.xlsm!tbAllTrades" type="102" refreshedVersion="8" minRefreshableVersion="5">
    <extLst>
      <ext xmlns:x15="http://schemas.microsoft.com/office/spreadsheetml/2010/11/main" uri="{DE250136-89BD-433C-8126-D09CA5730AF9}">
        <x15:connection id="tbAllTrades" autoDelete="1">
          <x15:rangePr sourceName="_xlcn.WorksheetConnection_TradingDiary.xlsmtbAllTrades"/>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3">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 name="XLMDX" minSupportedVersion="120000" copy="1" pasteAll="1" pasteValues="1" merge="1" splitFirst="1" rowColShift="1" clearFormats="1" clearComments="1" assign="1" coerce="1"/>
  </metadataTypes>
  <metadataStrings count="3">
    <s v="ThisWorkbookDataModel"/>
    <s v="{[tbAllTrades].[Strategy].[All]}"/>
    <s v="{[tbAllTrades].[Status].&amp;[Open]}"/>
  </metadataStrings>
  <mdxMetadata count="2">
    <mdx n="0" f="s">
      <ms ns="1" c="0"/>
    </mdx>
    <mdx n="0" f="s">
      <ms ns="2" c="0"/>
    </mdx>
  </mdxMetadata>
  <futureMetadata name="XLDAPR" count="1">
    <bk>
      <extLst>
        <ext uri="{bdbb8cdc-fa1e-496e-a857-3c3f30c029c3}">
          <xda:dynamicArrayProperties fDynamic="1" fCollapsed="0"/>
        </ext>
      </extLst>
    </bk>
  </futureMetadata>
  <futureMetadata name="XLRICHVALUE" count="1">
    <bk>
      <extLst>
        <ext uri="{3e2802c4-a4d2-4d8b-9148-e3be6c30e623}">
          <xlrd:rvb i="1"/>
        </ext>
      </extLst>
    </bk>
  </futureMetadata>
  <cellMetadata count="1">
    <bk>
      <rc t="1" v="0"/>
    </bk>
  </cellMetadata>
  <valueMetadata count="3">
    <bk>
      <rc t="3" v="0"/>
    </bk>
    <bk>
      <rc t="3" v="1"/>
    </bk>
    <bk>
      <rc t="2" v="0"/>
    </bk>
  </valueMetadata>
</metadata>
</file>

<file path=xl/sharedStrings.xml><?xml version="1.0" encoding="utf-8"?>
<sst xmlns="http://schemas.openxmlformats.org/spreadsheetml/2006/main" count="279" uniqueCount="152">
  <si>
    <t>Stock</t>
  </si>
  <si>
    <t>Name</t>
  </si>
  <si>
    <t>Sector</t>
  </si>
  <si>
    <t>Industry</t>
  </si>
  <si>
    <t>Investment In</t>
  </si>
  <si>
    <t>Investment Out</t>
  </si>
  <si>
    <t>ROI ($)</t>
  </si>
  <si>
    <t>ROI (%)</t>
  </si>
  <si>
    <t>Comments</t>
  </si>
  <si>
    <t>Total :</t>
  </si>
  <si>
    <t>Status</t>
  </si>
  <si>
    <t>Days</t>
  </si>
  <si>
    <t>Current</t>
  </si>
  <si>
    <t>Success Rate</t>
  </si>
  <si>
    <t>Total ROI</t>
  </si>
  <si>
    <t>Dividend Total</t>
  </si>
  <si>
    <t>Ave ROI %</t>
  </si>
  <si>
    <t>Annualised</t>
  </si>
  <si>
    <t>Dividends (cents)</t>
  </si>
  <si>
    <t>Shorts</t>
  </si>
  <si>
    <t>Position Size</t>
  </si>
  <si>
    <t xml:space="preserve">Financial Year </t>
  </si>
  <si>
    <t>Calendar Year</t>
  </si>
  <si>
    <t>Longs</t>
  </si>
  <si>
    <t>Wins</t>
  </si>
  <si>
    <t>Losses</t>
  </si>
  <si>
    <t>Other</t>
  </si>
  <si>
    <t>Combined Pos Size</t>
  </si>
  <si>
    <t>Combined ROI ($)</t>
  </si>
  <si>
    <t>Combined ROI (%)</t>
  </si>
  <si>
    <t>Longs Sold (per stock)</t>
  </si>
  <si>
    <t>Commission</t>
  </si>
  <si>
    <t>Stock Filter</t>
  </si>
  <si>
    <r>
      <rPr>
        <b/>
        <sz val="18"/>
        <rFont val="Calibri"/>
        <family val="2"/>
      </rPr>
      <t>All</t>
    </r>
    <r>
      <rPr>
        <sz val="18"/>
        <rFont val="Calibri"/>
        <family val="2"/>
      </rPr>
      <t xml:space="preserve"> Trades</t>
    </r>
  </si>
  <si>
    <t>Short Sold</t>
  </si>
  <si>
    <t xml:space="preserve">Note: These are approximate figures as you may have a combination of currencies and many other factors so this will not agree with any reports from your Broker. Shows trend only. </t>
  </si>
  <si>
    <t>Entry Date</t>
  </si>
  <si>
    <t>Entry Price</t>
  </si>
  <si>
    <t>Exit Date</t>
  </si>
  <si>
    <t>Exit Price</t>
  </si>
  <si>
    <t>Longs Sold (per trade)</t>
  </si>
  <si>
    <t>By Position %</t>
  </si>
  <si>
    <t>By Number of Trades</t>
  </si>
  <si>
    <t>Buys</t>
  </si>
  <si>
    <t>Cur</t>
  </si>
  <si>
    <t>AUD</t>
  </si>
  <si>
    <t>Spare</t>
  </si>
  <si>
    <t>Columns you don't use</t>
  </si>
  <si>
    <t>Strategy</t>
  </si>
  <si>
    <t>Closed</t>
  </si>
  <si>
    <t>Open</t>
  </si>
  <si>
    <t>Shorts Exited</t>
  </si>
  <si>
    <t>Ave Days Open</t>
  </si>
  <si>
    <r>
      <t>Go to the "</t>
    </r>
    <r>
      <rPr>
        <b/>
        <sz val="11"/>
        <rFont val="Calibri"/>
        <family val="2"/>
      </rPr>
      <t>Current Trades</t>
    </r>
    <r>
      <rPr>
        <sz val="11"/>
        <rFont val="Calibri"/>
        <family val="2"/>
        <scheme val="minor"/>
      </rPr>
      <t>" and "</t>
    </r>
    <r>
      <rPr>
        <b/>
        <sz val="11"/>
        <rFont val="Calibri"/>
        <family val="2"/>
        <scheme val="minor"/>
      </rPr>
      <t>Exited Trades</t>
    </r>
    <r>
      <rPr>
        <sz val="11"/>
        <rFont val="Calibri"/>
        <family val="2"/>
        <scheme val="minor"/>
      </rPr>
      <t>" worksheet and click on the button "</t>
    </r>
    <r>
      <rPr>
        <b/>
        <sz val="11"/>
        <rFont val="Calibri"/>
        <family val="2"/>
        <scheme val="minor"/>
      </rPr>
      <t>Refresh....</t>
    </r>
    <r>
      <rPr>
        <sz val="11"/>
        <rFont val="Calibri"/>
        <family val="2"/>
        <scheme val="minor"/>
      </rPr>
      <t xml:space="preserve">" </t>
    </r>
    <r>
      <rPr>
        <u/>
        <sz val="11"/>
        <rFont val="Calibri"/>
        <family val="2"/>
        <scheme val="minor"/>
      </rPr>
      <t>to refresh the data</t>
    </r>
  </si>
  <si>
    <r>
      <t>When opening your file, select "</t>
    </r>
    <r>
      <rPr>
        <b/>
        <sz val="11"/>
        <rFont val="Calibri"/>
        <family val="2"/>
        <scheme val="minor"/>
      </rPr>
      <t>ENABLE EDITING</t>
    </r>
    <r>
      <rPr>
        <sz val="11"/>
        <rFont val="Calibri"/>
        <family val="2"/>
        <scheme val="minor"/>
      </rPr>
      <t>" when prompted to do so.</t>
    </r>
  </si>
  <si>
    <t>If there are columns that you don't use on the "All Trades" tab like Industry or Commission, you can select the column, right click and "Hide". You would then hide the same column on the Current and Exit tabs also.</t>
  </si>
  <si>
    <t>Version</t>
  </si>
  <si>
    <t>Status Column</t>
  </si>
  <si>
    <t>Terminology</t>
  </si>
  <si>
    <t>Hide Shorts - NEW</t>
  </si>
  <si>
    <t>Strategy Column</t>
  </si>
  <si>
    <t>INSTRUCTIONS: Upgrading from previous version of Trading Diary</t>
  </si>
  <si>
    <t>If you decide you want the history and you have some Excel skills (don't need many but some)</t>
  </si>
  <si>
    <t xml:space="preserve">a. All Trades: Press the "Reorder" button to make sure all the Held are together and at the top. </t>
  </si>
  <si>
    <t>b. Current Trades: Press the "Refresh" to make sure the figures are up to date (for comparison later)</t>
  </si>
  <si>
    <t>The easiest way to use the new Trading Diary is to record your current trades manually and leave the history in your old spreadsheet.</t>
  </si>
  <si>
    <r>
      <rPr>
        <b/>
        <sz val="11"/>
        <rFont val="Calibri"/>
        <family val="2"/>
        <scheme val="minor"/>
      </rPr>
      <t xml:space="preserve">IMPORTANT: </t>
    </r>
    <r>
      <rPr>
        <sz val="11"/>
        <rFont val="Calibri"/>
        <family val="2"/>
        <scheme val="minor"/>
      </rPr>
      <t>Don't use normal paste. That way the information comes across but it keeps all the new formatting.</t>
    </r>
  </si>
  <si>
    <r>
      <t>To add rows, use the "</t>
    </r>
    <r>
      <rPr>
        <b/>
        <sz val="11"/>
        <rFont val="Calibri"/>
        <family val="2"/>
        <scheme val="minor"/>
      </rPr>
      <t>Add 10 rows</t>
    </r>
    <r>
      <rPr>
        <sz val="11"/>
        <rFont val="Calibri"/>
        <family val="2"/>
        <scheme val="minor"/>
      </rPr>
      <t xml:space="preserve">" button, top right hand side of All Trades </t>
    </r>
  </si>
  <si>
    <r>
      <t>To delete unwanted rows highlight the row, use the "</t>
    </r>
    <r>
      <rPr>
        <b/>
        <sz val="11"/>
        <rFont val="Calibri"/>
        <family val="2"/>
        <scheme val="minor"/>
      </rPr>
      <t>Delete Rows</t>
    </r>
    <r>
      <rPr>
        <sz val="11"/>
        <rFont val="Calibri"/>
        <family val="2"/>
        <scheme val="minor"/>
      </rPr>
      <t>" button, top right hand side of All Trades</t>
    </r>
  </si>
  <si>
    <t>- Changed from "Held" and "Sold" to "Open" and "Closed"</t>
  </si>
  <si>
    <t>- "Completed" Trades changed to "Exited" Trades</t>
  </si>
  <si>
    <t>- On "Results Tab" have the option to hide shorts results rows if not using them</t>
  </si>
  <si>
    <t>- Use to record Strategy for a position. Example: Trade, Investment etc.</t>
  </si>
  <si>
    <t>In your old spreadsheet on the following tabs</t>
  </si>
  <si>
    <t>Check Results Tab that the information is the same in both spreadsheets.</t>
  </si>
  <si>
    <t>If you enter data in a cell that has a formula or is protected you will get this message. You can not enter information in protected cells. The only column that has formulas that you can override the formula in is the Dividend Total column.</t>
  </si>
  <si>
    <r>
      <t>Record all your trades on the "</t>
    </r>
    <r>
      <rPr>
        <b/>
        <sz val="11"/>
        <rFont val="Calibri"/>
        <family val="2"/>
        <scheme val="minor"/>
      </rPr>
      <t>All Trades</t>
    </r>
    <r>
      <rPr>
        <sz val="11"/>
        <rFont val="Calibri"/>
        <family val="2"/>
        <scheme val="minor"/>
      </rPr>
      <t>" tab in the columns shown in brown/black.</t>
    </r>
  </si>
  <si>
    <t>A "Security Risk" message will appear (because you have downloaded a document from the internet). Close and save the spreadsheet.</t>
  </si>
  <si>
    <t>Grand Total</t>
  </si>
  <si>
    <t>(All)</t>
  </si>
  <si>
    <t>Stocks</t>
  </si>
  <si>
    <t>Currency</t>
  </si>
  <si>
    <t>Cost Basis</t>
  </si>
  <si>
    <t>% of Portfolio</t>
  </si>
  <si>
    <t>Cost Basis Combined</t>
  </si>
  <si>
    <t>Cost Basis Com in Base Curr</t>
  </si>
  <si>
    <t>Exchange Rate</t>
  </si>
  <si>
    <t xml:space="preserve">Cost Basis </t>
  </si>
  <si>
    <t>Quick Check</t>
  </si>
  <si>
    <t>ROI ($) + Dividend</t>
  </si>
  <si>
    <t>ROI (%) + Dividend</t>
  </si>
  <si>
    <t>Base Currency</t>
  </si>
  <si>
    <t>Combined ROI (%) + Div</t>
  </si>
  <si>
    <t>ROI</t>
  </si>
  <si>
    <t>ROI + Dividend</t>
  </si>
  <si>
    <t>4.0.</t>
  </si>
  <si>
    <t>% of Portfolio - New</t>
  </si>
  <si>
    <t>- Now combines position size by Strategy</t>
  </si>
  <si>
    <t>- Position size per stock per strategy based on value of your portfolio</t>
  </si>
  <si>
    <t>- without Dividend</t>
  </si>
  <si>
    <t>ROI ($) and (%)</t>
  </si>
  <si>
    <t>- with Dividend</t>
  </si>
  <si>
    <t>Compare Tab - New</t>
  </si>
  <si>
    <t>Cost Basis - New</t>
  </si>
  <si>
    <t>Date</t>
  </si>
  <si>
    <t>Average Days</t>
  </si>
  <si>
    <t xml:space="preserve">Position Size </t>
  </si>
  <si>
    <t>c. Exited Trades: Press the "Refresh"</t>
  </si>
  <si>
    <t>In the new spreadsheet, press the "Add 20 Rows" button until you have enough rows to include all your data from your old spreadsheet.</t>
  </si>
  <si>
    <t xml:space="preserve">Only copy columns from old spreadsheet that don't have formulas, the brown columns. When you paste use Right Click, Paste Values (the second option). </t>
  </si>
  <si>
    <t>USD</t>
  </si>
  <si>
    <t>Trade</t>
  </si>
  <si>
    <t>4.1.</t>
  </si>
  <si>
    <t xml:space="preserve">Compare Tab </t>
  </si>
  <si>
    <t>- Added #Shares to Quick Check Section</t>
  </si>
  <si>
    <t>No. of Shares</t>
  </si>
  <si>
    <t>Total</t>
  </si>
  <si>
    <t/>
  </si>
  <si>
    <t>Open Trades</t>
  </si>
  <si>
    <t>Closed Trades</t>
  </si>
  <si>
    <t>Shares</t>
  </si>
  <si>
    <t xml:space="preserve">No. of Shares </t>
  </si>
  <si>
    <t>Currency Pair</t>
  </si>
  <si>
    <t>LIST</t>
  </si>
  <si>
    <t>Dymanic Dropdown of Statuses</t>
  </si>
  <si>
    <t>All</t>
  </si>
  <si>
    <t>Highlight the example lines, press the "Delete Rows" button</t>
  </si>
  <si>
    <t>On Open (previously Current) and Closed (previously Exited) tabs press refresh and check totals are the same.</t>
  </si>
  <si>
    <t>Compare Tab</t>
  </si>
  <si>
    <t>- Extra currency pairs if you have more currencies then Base Currency and USD.</t>
  </si>
  <si>
    <t># Shares</t>
  </si>
  <si>
    <t xml:space="preserve">Currency </t>
  </si>
  <si>
    <t>Mac?</t>
  </si>
  <si>
    <t>Windows version</t>
  </si>
  <si>
    <t>Results Tab</t>
  </si>
  <si>
    <t>- updated to include dividends</t>
  </si>
  <si>
    <t>For other versions you can periodically update them manually.</t>
  </si>
  <si>
    <t>Exchange Rates update automatically only in Excel 365</t>
  </si>
  <si>
    <r>
      <t>Download the ZIP file to your computer. Right-click on the ZIP file and select "</t>
    </r>
    <r>
      <rPr>
        <b/>
        <sz val="11"/>
        <rFont val="Calibri"/>
        <family val="2"/>
        <scheme val="minor"/>
      </rPr>
      <t>Extract All</t>
    </r>
    <r>
      <rPr>
        <sz val="11"/>
        <rFont val="Calibri"/>
        <family val="2"/>
        <scheme val="minor"/>
      </rPr>
      <t>" and choose where you wish to save the Trading Diary</t>
    </r>
  </si>
  <si>
    <t>Go to where the spreadsheet is stored on your computer, right click, go to the bottom and select "Properties", and down the bottom where it says  "Security" and tick "Unblock". Your Trading Diary is now ready to use.</t>
  </si>
  <si>
    <t>Trouble shooting</t>
  </si>
  <si>
    <t>If the properties of the Trading Diary look like this, the spreadsheet is still in the ZIP file. Go back to point 1. of the "Instructions - Preparing for use" and Extract</t>
  </si>
  <si>
    <t>INSTRUCTIONS: Preparing the spreadsheet for use.</t>
  </si>
  <si>
    <t>Comb ROI ($) + Div by Strat</t>
  </si>
  <si>
    <t>Comb ROI ($) + Div by Stock</t>
  </si>
  <si>
    <t>- Quick Check Section for Macs with 365</t>
  </si>
  <si>
    <t>- success rate by stock</t>
  </si>
  <si>
    <t>Set and forget - for % of portfolio</t>
  </si>
  <si>
    <t>NKE</t>
  </si>
  <si>
    <t>Nike</t>
  </si>
  <si>
    <t>Consumer Cyclical</t>
  </si>
  <si>
    <t>Footwear &amp; Accessories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</si>
</sst>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7" formatCode="&quot;$&quot;#,##0.00_);\(&quot;$&quot;#,##0.00\)"/>
    <numFmt numFmtId="164" formatCode="_-* #,##0.00_-;\-* #,##0.00_-;_-* &quot;-&quot;??_-;_-@_-"/>
    <numFmt numFmtId="165" formatCode="&quot;$&quot;#,##0.00"/>
    <numFmt numFmtId="166" formatCode="dd\/mm\/yyyy"/>
    <numFmt numFmtId="167" formatCode="0_);\(0\)"/>
    <numFmt numFmtId="168" formatCode="0.00%;\(0.00%\)"/>
    <numFmt numFmtId="169" formatCode="0.0000"/>
    <numFmt numFmtId="170" formatCode="0.0%"/>
    <numFmt numFmtId="171" formatCode="_-* #,##0_-;\-* #,##0_-;_-* &quot;-&quot;??_-;_-@_-"/>
    <numFmt numFmtId="172" formatCode="mmm"/>
    <numFmt numFmtId="173" formatCode="General&quot;.&quot;"/>
    <numFmt numFmtId="174" formatCode="d/mm/yy"/>
  </numFmts>
  <fonts count="53">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rgb="FF0000FF"/>
      <name val="Calibri"/>
      <family val="2"/>
      <scheme val="minor"/>
    </font>
    <font>
      <u/>
      <sz val="11"/>
      <color rgb="FF800080"/>
      <name val="Calibri"/>
      <family val="2"/>
      <scheme val="minor"/>
    </font>
    <font>
      <b/>
      <sz val="9"/>
      <color indexed="81"/>
      <name val="Tahoma"/>
      <family val="2"/>
    </font>
    <font>
      <sz val="9"/>
      <color indexed="81"/>
      <name val="Tahoma"/>
      <family val="2"/>
    </font>
    <font>
      <sz val="10"/>
      <name val="Calibri"/>
      <family val="2"/>
    </font>
    <font>
      <sz val="11"/>
      <name val="Calibri"/>
      <family val="2"/>
      <scheme val="minor"/>
    </font>
    <font>
      <b/>
      <sz val="20"/>
      <name val="Calibri"/>
      <family val="2"/>
    </font>
    <font>
      <sz val="10"/>
      <color theme="0"/>
      <name val="Calibri"/>
      <family val="2"/>
    </font>
    <font>
      <b/>
      <sz val="10"/>
      <color theme="0"/>
      <name val="Calibri"/>
      <family val="2"/>
    </font>
    <font>
      <b/>
      <sz val="11"/>
      <name val="Calibri"/>
      <family val="2"/>
    </font>
    <font>
      <b/>
      <sz val="11"/>
      <name val="Calibri"/>
      <family val="2"/>
      <scheme val="minor"/>
    </font>
    <font>
      <u/>
      <sz val="11"/>
      <name val="Calibri"/>
      <family val="2"/>
      <scheme val="minor"/>
    </font>
    <font>
      <sz val="16"/>
      <name val="Calibri"/>
      <family val="2"/>
    </font>
    <font>
      <sz val="10"/>
      <color theme="1"/>
      <name val="Calibri"/>
      <family val="2"/>
      <scheme val="minor"/>
    </font>
    <font>
      <sz val="8"/>
      <name val="Calibri"/>
      <family val="2"/>
    </font>
    <font>
      <b/>
      <sz val="18"/>
      <color theme="3"/>
      <name val="Calibri"/>
      <family val="2"/>
      <scheme val="minor"/>
    </font>
    <font>
      <b/>
      <sz val="14"/>
      <color theme="3"/>
      <name val="Calibri"/>
      <family val="2"/>
      <scheme val="minor"/>
    </font>
    <font>
      <b/>
      <sz val="20"/>
      <name val="Calibri"/>
      <family val="2"/>
      <scheme val="minor"/>
    </font>
    <font>
      <b/>
      <sz val="13"/>
      <name val="Calibri"/>
      <family val="2"/>
      <scheme val="minor"/>
    </font>
    <font>
      <b/>
      <sz val="14"/>
      <name val="Calibri"/>
      <family val="2"/>
      <scheme val="minor"/>
    </font>
    <font>
      <sz val="11"/>
      <color rgb="FF000000"/>
      <name val="Calibri"/>
      <family val="2"/>
      <scheme val="minor"/>
    </font>
    <font>
      <b/>
      <sz val="10"/>
      <name val="Calibri"/>
      <family val="2"/>
    </font>
    <font>
      <sz val="7"/>
      <name val="Calibri"/>
      <family val="2"/>
    </font>
    <font>
      <sz val="8"/>
      <color theme="0"/>
      <name val="Calibri"/>
      <family val="2"/>
    </font>
    <font>
      <sz val="18"/>
      <name val="Calibri"/>
      <family val="2"/>
    </font>
    <font>
      <b/>
      <sz val="18"/>
      <name val="Calibri"/>
      <family val="2"/>
    </font>
    <font>
      <sz val="8"/>
      <color theme="1"/>
      <name val="Calibri"/>
      <family val="2"/>
      <scheme val="minor"/>
    </font>
    <font>
      <sz val="8"/>
      <name val="Calibri"/>
      <family val="2"/>
      <scheme val="minor"/>
    </font>
    <font>
      <b/>
      <sz val="11"/>
      <color rgb="FFC00000"/>
      <name val="Calibri"/>
      <family val="2"/>
      <scheme val="minor"/>
    </font>
    <font>
      <sz val="12"/>
      <color theme="1"/>
      <name val="Calibri"/>
      <family val="2"/>
      <scheme val="minor"/>
    </font>
    <font>
      <sz val="7"/>
      <color rgb="FF05192D"/>
      <name val="JetBrainsMonoNL"/>
    </font>
    <font>
      <b/>
      <sz val="12"/>
      <color theme="1"/>
      <name val="Calibri"/>
      <family val="2"/>
      <scheme val="minor"/>
    </font>
    <font>
      <sz val="9"/>
      <color rgb="FF000000"/>
      <name val="Calibri"/>
      <family val="2"/>
    </font>
    <font>
      <b/>
      <sz val="9"/>
      <color rgb="FF000000"/>
      <name val="Tahoma"/>
      <family val="2"/>
    </font>
    <font>
      <sz val="9"/>
      <color rgb="FF000000"/>
      <name val="Tahoma"/>
      <family val="2"/>
    </font>
  </fonts>
  <fills count="44">
    <fill>
      <patternFill patternType="none"/>
    </fill>
    <fill>
      <patternFill patternType="gray125"/>
    </fill>
    <fill>
      <patternFill patternType="solid">
        <fgColor rgb="FFC6EF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theme="0"/>
        <bgColor indexed="64"/>
      </patternFill>
    </fill>
    <fill>
      <patternFill patternType="solid">
        <fgColor theme="1"/>
        <bgColor indexed="64"/>
      </patternFill>
    </fill>
    <fill>
      <patternFill patternType="solid">
        <fgColor rgb="FFFBFFFF"/>
        <bgColor indexed="64"/>
      </patternFill>
    </fill>
    <fill>
      <patternFill patternType="solid">
        <fgColor theme="0" tint="-4.9989318521683403E-2"/>
        <bgColor indexed="64"/>
      </patternFill>
    </fill>
    <fill>
      <patternFill patternType="solid">
        <fgColor theme="4" tint="0.39997558519241921"/>
        <bgColor indexed="64"/>
      </patternFill>
    </fill>
    <fill>
      <patternFill patternType="solid">
        <fgColor theme="5" tint="-0.249977111117893"/>
        <bgColor indexed="64"/>
      </patternFill>
    </fill>
    <fill>
      <patternFill patternType="solid">
        <fgColor theme="3"/>
        <bgColor indexed="64"/>
      </patternFill>
    </fill>
    <fill>
      <patternFill patternType="solid">
        <fgColor rgb="FFFFFFFF"/>
        <bgColor rgb="FF000000"/>
      </patternFill>
    </fill>
    <fill>
      <patternFill patternType="solid">
        <fgColor theme="0" tint="-0.14999847407452621"/>
        <bgColor theme="1"/>
      </patternFill>
    </fill>
    <fill>
      <patternFill patternType="solid">
        <fgColor theme="0" tint="-0.249977111117893"/>
        <bgColor indexed="64"/>
      </patternFill>
    </fill>
    <fill>
      <patternFill patternType="solid">
        <fgColor theme="8" tint="0.79998168889431442"/>
        <bgColor indexed="64"/>
      </patternFill>
    </fill>
  </fills>
  <borders count="33">
    <border>
      <left/>
      <right/>
      <top/>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theme="0" tint="-0.14996795556505021"/>
      </left>
      <right/>
      <top/>
      <bottom/>
      <diagonal/>
    </border>
    <border>
      <left/>
      <right style="medium">
        <color theme="0"/>
      </right>
      <top/>
      <bottom/>
      <diagonal/>
    </border>
    <border>
      <left style="medium">
        <color theme="0"/>
      </left>
      <right/>
      <top/>
      <bottom/>
      <diagonal/>
    </border>
    <border>
      <left style="medium">
        <color theme="0"/>
      </left>
      <right style="medium">
        <color theme="0"/>
      </right>
      <top/>
      <bottom/>
      <diagonal/>
    </border>
    <border>
      <left/>
      <right/>
      <top/>
      <bottom style="thick">
        <color rgb="FF1C9F80"/>
      </bottom>
      <diagonal/>
    </border>
    <border>
      <left/>
      <right/>
      <top/>
      <bottom style="thick">
        <color rgb="FF18AEB5"/>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theme="0" tint="-0.499984740745262"/>
      </right>
      <top/>
      <bottom/>
      <diagonal/>
    </border>
    <border>
      <left/>
      <right style="thin">
        <color theme="1" tint="0.14999847407452621"/>
      </right>
      <top/>
      <bottom/>
      <diagonal/>
    </border>
    <border>
      <left style="thin">
        <color theme="1" tint="0.14999847407452621"/>
      </left>
      <right style="thin">
        <color theme="0" tint="-0.499984740745262"/>
      </right>
      <top style="thin">
        <color theme="1" tint="0.14999847407452621"/>
      </top>
      <bottom style="thin">
        <color theme="0" tint="-0.499984740745262"/>
      </bottom>
      <diagonal/>
    </border>
    <border>
      <left style="medium">
        <color theme="0" tint="-0.14996795556505021"/>
      </left>
      <right style="medium">
        <color theme="0" tint="-0.14993743705557422"/>
      </right>
      <top/>
      <bottom/>
      <diagonal/>
    </border>
    <border>
      <left style="medium">
        <color theme="0" tint="-0.14993743705557422"/>
      </left>
      <right/>
      <top/>
      <bottom/>
      <diagonal/>
    </border>
    <border>
      <left/>
      <right/>
      <top/>
      <bottom style="thick">
        <color theme="5" tint="-0.24994659260841701"/>
      </bottom>
      <diagonal/>
    </border>
    <border>
      <left/>
      <right/>
      <top style="thick">
        <color theme="5" tint="-0.24994659260841701"/>
      </top>
      <bottom style="thick">
        <color theme="5" tint="-0.24994659260841701"/>
      </bottom>
      <diagonal/>
    </border>
    <border>
      <left/>
      <right style="thin">
        <color theme="0"/>
      </right>
      <top/>
      <bottom/>
      <diagonal/>
    </border>
    <border>
      <left style="thin">
        <color theme="0"/>
      </left>
      <right style="thin">
        <color theme="0"/>
      </right>
      <top/>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rgb="FF147862"/>
      </bottom>
      <diagonal/>
    </border>
    <border>
      <left/>
      <right style="medium">
        <color rgb="FF147862"/>
      </right>
      <top/>
      <bottom/>
      <diagonal/>
    </border>
    <border>
      <left style="medium">
        <color rgb="FF147862"/>
      </left>
      <right style="medium">
        <color indexed="64"/>
      </right>
      <top style="medium">
        <color rgb="FF147862"/>
      </top>
      <bottom style="medium">
        <color rgb="FF147862"/>
      </bottom>
      <diagonal/>
    </border>
  </borders>
  <cellStyleXfs count="45">
    <xf numFmtId="0" fontId="0" fillId="0" borderId="0" applyNumberFormat="0" applyFont="0" applyBorder="0" applyAlignment="0" applyProtection="0"/>
    <xf numFmtId="9" fontId="1" fillId="0" borderId="0" applyFont="0" applyFill="0" applyBorder="0" applyAlignment="0" applyProtection="0"/>
    <xf numFmtId="0" fontId="2" fillId="0" borderId="0" applyNumberFormat="0" applyFill="0" applyBorder="0" applyAlignment="0" applyProtection="0"/>
    <xf numFmtId="0" fontId="3" fillId="0" borderId="12" applyNumberFormat="0" applyFill="0" applyAlignment="0" applyProtection="0"/>
    <xf numFmtId="0" fontId="4" fillId="0" borderId="13" applyNumberFormat="0" applyFill="0" applyAlignment="0" applyProtection="0"/>
    <xf numFmtId="0" fontId="5" fillId="0" borderId="1" applyNumberFormat="0" applyFill="0" applyAlignment="0" applyProtection="0"/>
    <xf numFmtId="0" fontId="5" fillId="0" borderId="0" applyNumberFormat="0" applyFill="0" applyBorder="0" applyAlignment="0" applyProtection="0"/>
    <xf numFmtId="0" fontId="6" fillId="2" borderId="0" applyNumberFormat="0" applyFont="0" applyBorder="0" applyAlignment="0" applyProtection="0"/>
    <xf numFmtId="0" fontId="8" fillId="3" borderId="0" applyNumberFormat="0" applyFont="0" applyBorder="0" applyAlignment="0" applyProtection="0"/>
    <xf numFmtId="0" fontId="9" fillId="4" borderId="2" applyNumberFormat="0" applyAlignment="0" applyProtection="0"/>
    <xf numFmtId="0" fontId="10" fillId="5" borderId="3" applyNumberFormat="0" applyAlignment="0" applyProtection="0"/>
    <xf numFmtId="0" fontId="11" fillId="5" borderId="2" applyNumberFormat="0" applyAlignment="0" applyProtection="0"/>
    <xf numFmtId="0" fontId="12" fillId="0" borderId="4" applyNumberFormat="0" applyFill="0" applyAlignment="0" applyProtection="0"/>
    <xf numFmtId="0" fontId="13" fillId="6" borderId="5" applyNumberFormat="0" applyAlignment="0" applyProtection="0"/>
    <xf numFmtId="0" fontId="14" fillId="0" borderId="0" applyNumberFormat="0" applyFill="0" applyBorder="0" applyAlignment="0" applyProtection="0"/>
    <xf numFmtId="0" fontId="1" fillId="7" borderId="6" applyNumberFormat="0" applyFont="0" applyAlignment="0" applyProtection="0"/>
    <xf numFmtId="0" fontId="15" fillId="0" borderId="0" applyNumberFormat="0" applyFill="0" applyBorder="0" applyAlignment="0" applyProtection="0"/>
    <xf numFmtId="0" fontId="16" fillId="0" borderId="7" applyNumberFormat="0" applyFill="0" applyAlignment="0" applyProtection="0"/>
    <xf numFmtId="0" fontId="17"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7" fillId="11" borderId="0" applyNumberFormat="0" applyBorder="0" applyAlignment="0" applyProtection="0"/>
    <xf numFmtId="0" fontId="17"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7" fillId="19" borderId="0" applyNumberFormat="0" applyBorder="0" applyAlignment="0" applyProtection="0"/>
    <xf numFmtId="0" fontId="17"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7" fillId="23" borderId="0" applyNumberFormat="0" applyBorder="0" applyAlignment="0" applyProtection="0"/>
    <xf numFmtId="0" fontId="17"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7" fillId="27" borderId="0" applyNumberFormat="0" applyBorder="0" applyAlignment="0" applyProtection="0"/>
    <xf numFmtId="0" fontId="17"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7" fillId="31" borderId="0" applyNumberFormat="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164" fontId="1" fillId="0" borderId="0" applyFont="0" applyFill="0" applyBorder="0" applyAlignment="0" applyProtection="0"/>
  </cellStyleXfs>
  <cellXfs count="311">
    <xf numFmtId="0" fontId="0" fillId="0" borderId="0" xfId="0"/>
    <xf numFmtId="0" fontId="23" fillId="0" borderId="0" xfId="0" applyNumberFormat="1" applyFont="1" applyBorder="1" applyAlignment="1" applyProtection="1">
      <alignment horizontal="left" vertical="center"/>
      <protection locked="0"/>
    </xf>
    <xf numFmtId="0" fontId="23" fillId="32" borderId="0" xfId="0" applyFont="1" applyFill="1" applyAlignment="1" applyProtection="1">
      <alignment horizontal="center" vertical="center"/>
      <protection locked="0"/>
    </xf>
    <xf numFmtId="0" fontId="23" fillId="0" borderId="0" xfId="0" applyFont="1" applyAlignment="1" applyProtection="1">
      <alignment horizontal="center" vertical="center"/>
      <protection locked="0"/>
    </xf>
    <xf numFmtId="0" fontId="23" fillId="0" borderId="0" xfId="0" applyFont="1" applyBorder="1" applyAlignment="1" applyProtection="1">
      <alignment horizontal="left" vertical="center"/>
      <protection locked="0"/>
    </xf>
    <xf numFmtId="0" fontId="22" fillId="0" borderId="0" xfId="0" applyNumberFormat="1" applyFont="1" applyAlignment="1" applyProtection="1">
      <alignment horizontal="left" vertical="center"/>
      <protection locked="0"/>
    </xf>
    <xf numFmtId="0" fontId="22" fillId="0" borderId="0" xfId="0" applyNumberFormat="1" applyFont="1" applyAlignment="1" applyProtection="1">
      <alignment horizontal="left" vertical="center" wrapText="1"/>
      <protection locked="0"/>
    </xf>
    <xf numFmtId="7" fontId="22" fillId="0" borderId="0" xfId="0" applyNumberFormat="1" applyFont="1" applyBorder="1" applyAlignment="1" applyProtection="1">
      <alignment horizontal="right" vertical="center"/>
      <protection locked="0"/>
    </xf>
    <xf numFmtId="7" fontId="22" fillId="0" borderId="0" xfId="1" applyNumberFormat="1" applyFont="1" applyFill="1" applyBorder="1" applyAlignment="1" applyProtection="1">
      <alignment horizontal="right" vertical="center"/>
      <protection locked="0"/>
    </xf>
    <xf numFmtId="167" fontId="22" fillId="0" borderId="0" xfId="0" applyNumberFormat="1" applyFont="1" applyBorder="1" applyAlignment="1" applyProtection="1">
      <alignment horizontal="right" vertical="center"/>
      <protection locked="0"/>
    </xf>
    <xf numFmtId="0" fontId="22" fillId="33" borderId="0" xfId="0" applyNumberFormat="1" applyFont="1" applyFill="1" applyAlignment="1" applyProtection="1">
      <alignment horizontal="left" vertical="center"/>
      <protection locked="0"/>
    </xf>
    <xf numFmtId="0" fontId="22" fillId="33" borderId="0" xfId="0" applyNumberFormat="1" applyFont="1" applyFill="1" applyBorder="1" applyAlignment="1" applyProtection="1">
      <alignment horizontal="left" vertical="center"/>
      <protection locked="0"/>
    </xf>
    <xf numFmtId="14" fontId="22" fillId="33" borderId="0" xfId="0" applyNumberFormat="1" applyFont="1" applyFill="1" applyBorder="1" applyAlignment="1" applyProtection="1">
      <alignment horizontal="right" vertical="center"/>
      <protection locked="0"/>
    </xf>
    <xf numFmtId="7" fontId="22" fillId="33" borderId="0" xfId="1" applyNumberFormat="1" applyFont="1" applyFill="1" applyBorder="1" applyAlignment="1" applyProtection="1">
      <alignment horizontal="right" vertical="center"/>
      <protection locked="0"/>
    </xf>
    <xf numFmtId="49" fontId="22" fillId="0" borderId="0" xfId="1" applyNumberFormat="1" applyFont="1" applyFill="1" applyAlignment="1" applyProtection="1">
      <alignment horizontal="left" vertical="center" wrapText="1"/>
      <protection locked="0"/>
    </xf>
    <xf numFmtId="0" fontId="25" fillId="33" borderId="0" xfId="0" applyNumberFormat="1" applyFont="1" applyFill="1" applyBorder="1" applyAlignment="1" applyProtection="1">
      <alignment horizontal="center" vertical="center"/>
    </xf>
    <xf numFmtId="0" fontId="0" fillId="0" borderId="0" xfId="0" applyAlignment="1">
      <alignment horizontal="center"/>
    </xf>
    <xf numFmtId="1" fontId="0" fillId="0" borderId="0" xfId="0" quotePrefix="1" applyNumberFormat="1" applyFont="1" applyAlignment="1">
      <alignment horizontal="center"/>
    </xf>
    <xf numFmtId="0" fontId="0" fillId="33" borderId="0" xfId="0" applyFill="1" applyBorder="1" applyProtection="1">
      <protection locked="0"/>
    </xf>
    <xf numFmtId="0" fontId="0" fillId="0" borderId="0" xfId="0" applyProtection="1">
      <protection locked="0"/>
    </xf>
    <xf numFmtId="7" fontId="22" fillId="33" borderId="0" xfId="0" applyNumberFormat="1" applyFont="1" applyFill="1" applyBorder="1" applyAlignment="1" applyProtection="1">
      <alignment horizontal="right" vertical="center"/>
    </xf>
    <xf numFmtId="0" fontId="0" fillId="0" borderId="0" xfId="0" applyProtection="1"/>
    <xf numFmtId="7" fontId="22" fillId="33" borderId="0" xfId="1" applyNumberFormat="1" applyFont="1" applyFill="1" applyBorder="1" applyAlignment="1" applyProtection="1">
      <alignment horizontal="right" vertical="center"/>
    </xf>
    <xf numFmtId="0" fontId="0" fillId="33" borderId="0" xfId="0" applyFill="1" applyProtection="1"/>
    <xf numFmtId="10" fontId="22" fillId="33" borderId="0" xfId="1" applyNumberFormat="1" applyFont="1" applyFill="1" applyBorder="1" applyAlignment="1" applyProtection="1">
      <alignment horizontal="right" vertical="center"/>
    </xf>
    <xf numFmtId="0" fontId="30" fillId="33" borderId="0" xfId="0" applyNumberFormat="1" applyFont="1" applyFill="1" applyAlignment="1" applyProtection="1">
      <alignment horizontal="left" vertical="center"/>
      <protection locked="0"/>
    </xf>
    <xf numFmtId="0" fontId="22" fillId="33" borderId="0" xfId="0" applyNumberFormat="1" applyFont="1" applyFill="1" applyAlignment="1" applyProtection="1">
      <alignment horizontal="left" vertical="center"/>
    </xf>
    <xf numFmtId="0" fontId="22" fillId="33" borderId="0" xfId="0" applyNumberFormat="1" applyFont="1" applyFill="1" applyBorder="1" applyAlignment="1" applyProtection="1">
      <alignment horizontal="left" vertical="center"/>
    </xf>
    <xf numFmtId="166" fontId="22" fillId="33" borderId="0" xfId="0" applyNumberFormat="1" applyFont="1" applyFill="1" applyBorder="1" applyAlignment="1" applyProtection="1">
      <alignment horizontal="right" vertical="center"/>
    </xf>
    <xf numFmtId="37" fontId="22" fillId="33" borderId="0" xfId="0" applyNumberFormat="1" applyFont="1" applyFill="1" applyBorder="1" applyAlignment="1" applyProtection="1">
      <alignment horizontal="right" vertical="center"/>
    </xf>
    <xf numFmtId="14" fontId="22" fillId="33" borderId="0" xfId="0" applyNumberFormat="1" applyFont="1" applyFill="1" applyBorder="1" applyAlignment="1" applyProtection="1">
      <alignment horizontal="right" vertical="center"/>
    </xf>
    <xf numFmtId="168" fontId="22" fillId="33" borderId="0" xfId="1" applyNumberFormat="1" applyFont="1" applyFill="1" applyBorder="1" applyAlignment="1" applyProtection="1">
      <alignment horizontal="right" vertical="center"/>
    </xf>
    <xf numFmtId="0" fontId="25" fillId="33" borderId="0" xfId="0" applyNumberFormat="1" applyFont="1" applyFill="1" applyAlignment="1" applyProtection="1">
      <alignment horizontal="left" vertical="center"/>
    </xf>
    <xf numFmtId="37" fontId="26" fillId="34" borderId="9" xfId="0" applyNumberFormat="1" applyFont="1" applyFill="1" applyBorder="1" applyAlignment="1" applyProtection="1">
      <alignment horizontal="left" vertical="center"/>
    </xf>
    <xf numFmtId="7" fontId="26" fillId="34" borderId="10" xfId="0" applyNumberFormat="1" applyFont="1" applyFill="1" applyBorder="1" applyAlignment="1" applyProtection="1">
      <alignment horizontal="right" vertical="center"/>
    </xf>
    <xf numFmtId="7" fontId="26" fillId="34" borderId="9" xfId="1" applyNumberFormat="1" applyFont="1" applyFill="1" applyBorder="1" applyAlignment="1" applyProtection="1">
      <alignment horizontal="right" vertical="center"/>
    </xf>
    <xf numFmtId="7" fontId="26" fillId="34" borderId="11" xfId="1" applyNumberFormat="1" applyFont="1" applyFill="1" applyBorder="1" applyAlignment="1" applyProtection="1">
      <alignment horizontal="right" vertical="center"/>
    </xf>
    <xf numFmtId="0" fontId="0" fillId="33" borderId="0" xfId="0" applyFill="1" applyProtection="1">
      <protection locked="0"/>
    </xf>
    <xf numFmtId="0" fontId="0" fillId="33" borderId="0" xfId="0" applyFill="1" applyAlignment="1" applyProtection="1">
      <alignment horizontal="left" vertical="center"/>
      <protection locked="0"/>
    </xf>
    <xf numFmtId="166" fontId="22" fillId="33" borderId="0" xfId="0" applyNumberFormat="1" applyFont="1" applyFill="1" applyBorder="1" applyAlignment="1" applyProtection="1">
      <alignment horizontal="left" vertical="center"/>
    </xf>
    <xf numFmtId="7" fontId="22" fillId="33" borderId="0" xfId="0" applyNumberFormat="1" applyFont="1" applyFill="1" applyBorder="1" applyAlignment="1" applyProtection="1">
      <alignment horizontal="left" vertical="center"/>
    </xf>
    <xf numFmtId="37" fontId="22" fillId="33" borderId="0" xfId="0" applyNumberFormat="1" applyFont="1" applyFill="1" applyBorder="1" applyAlignment="1" applyProtection="1">
      <alignment horizontal="left" vertical="center"/>
    </xf>
    <xf numFmtId="14" fontId="22" fillId="33" borderId="0" xfId="0" applyNumberFormat="1" applyFont="1" applyFill="1" applyBorder="1" applyAlignment="1" applyProtection="1">
      <alignment horizontal="left" vertical="center"/>
    </xf>
    <xf numFmtId="7" fontId="22" fillId="33" borderId="0" xfId="1" applyNumberFormat="1" applyFont="1" applyFill="1" applyBorder="1" applyAlignment="1" applyProtection="1">
      <alignment horizontal="left" vertical="center"/>
    </xf>
    <xf numFmtId="10" fontId="22" fillId="33" borderId="0" xfId="1" applyNumberFormat="1" applyFont="1" applyFill="1" applyBorder="1" applyAlignment="1" applyProtection="1">
      <alignment horizontal="left" vertical="center"/>
    </xf>
    <xf numFmtId="0" fontId="17" fillId="33" borderId="0" xfId="0" applyNumberFormat="1" applyFont="1" applyFill="1" applyBorder="1" applyAlignment="1" applyProtection="1">
      <alignment horizontal="left" vertical="center"/>
    </xf>
    <xf numFmtId="0" fontId="0" fillId="33" borderId="0" xfId="0" applyFill="1" applyAlignment="1" applyProtection="1">
      <alignment horizontal="left" vertical="center"/>
    </xf>
    <xf numFmtId="14" fontId="0" fillId="0" borderId="0" xfId="0" applyNumberFormat="1" applyProtection="1">
      <protection locked="0"/>
    </xf>
    <xf numFmtId="167" fontId="22" fillId="0" borderId="0" xfId="0" applyNumberFormat="1" applyFont="1" applyBorder="1" applyAlignment="1" applyProtection="1">
      <alignment horizontal="center" vertical="center"/>
      <protection locked="0"/>
    </xf>
    <xf numFmtId="14" fontId="22" fillId="0" borderId="0" xfId="0" applyNumberFormat="1" applyFont="1" applyAlignment="1" applyProtection="1">
      <alignment horizontal="right" vertical="center"/>
      <protection locked="0"/>
    </xf>
    <xf numFmtId="7" fontId="22" fillId="0" borderId="0" xfId="0" applyNumberFormat="1" applyFont="1" applyAlignment="1" applyProtection="1">
      <alignment horizontal="right" vertical="center"/>
      <protection locked="0"/>
    </xf>
    <xf numFmtId="7" fontId="22" fillId="0" borderId="0" xfId="1" applyNumberFormat="1" applyFont="1" applyFill="1" applyAlignment="1" applyProtection="1">
      <alignment horizontal="right" vertical="center"/>
      <protection locked="0"/>
    </xf>
    <xf numFmtId="10" fontId="22" fillId="0" borderId="0" xfId="1" applyNumberFormat="1" applyFont="1" applyFill="1" applyAlignment="1" applyProtection="1">
      <alignment horizontal="right" vertical="center"/>
      <protection locked="0"/>
    </xf>
    <xf numFmtId="10" fontId="26" fillId="34" borderId="11" xfId="1" applyNumberFormat="1" applyFont="1" applyFill="1" applyBorder="1" applyAlignment="1" applyProtection="1">
      <alignment horizontal="right" vertical="center"/>
    </xf>
    <xf numFmtId="14" fontId="0" fillId="0" borderId="0" xfId="0" applyNumberFormat="1"/>
    <xf numFmtId="0" fontId="0" fillId="0" borderId="0" xfId="0" applyBorder="1"/>
    <xf numFmtId="0" fontId="0" fillId="0" borderId="0" xfId="0" applyBorder="1" applyAlignment="1">
      <alignment horizontal="center"/>
    </xf>
    <xf numFmtId="0" fontId="33" fillId="0" borderId="0" xfId="3" applyFont="1" applyFill="1" applyBorder="1" applyAlignment="1">
      <alignment horizontal="center"/>
    </xf>
    <xf numFmtId="0" fontId="34" fillId="0" borderId="0" xfId="4" applyFont="1" applyFill="1" applyBorder="1" applyAlignment="1">
      <alignment horizontal="center"/>
    </xf>
    <xf numFmtId="170" fontId="0" fillId="0" borderId="0" xfId="0" applyNumberFormat="1" applyBorder="1" applyAlignment="1">
      <alignment horizontal="center"/>
    </xf>
    <xf numFmtId="0" fontId="16" fillId="0" borderId="0" xfId="0" applyFont="1" applyAlignment="1">
      <alignment horizontal="left"/>
    </xf>
    <xf numFmtId="0" fontId="0" fillId="0" borderId="0" xfId="0" applyFont="1" applyAlignment="1">
      <alignment horizontal="left" indent="3"/>
    </xf>
    <xf numFmtId="0" fontId="0" fillId="0" borderId="0" xfId="0" applyAlignment="1">
      <alignment horizontal="left" indent="3"/>
    </xf>
    <xf numFmtId="0" fontId="16" fillId="0" borderId="0" xfId="0" applyFont="1" applyAlignment="1"/>
    <xf numFmtId="170" fontId="0" fillId="0" borderId="0" xfId="0" applyNumberFormat="1" applyAlignment="1">
      <alignment horizontal="left" indent="3"/>
    </xf>
    <xf numFmtId="7" fontId="7" fillId="0" borderId="0" xfId="0" applyNumberFormat="1" applyFont="1" applyBorder="1" applyAlignment="1" applyProtection="1">
      <alignment horizontal="left" vertical="center"/>
    </xf>
    <xf numFmtId="10" fontId="7" fillId="0" borderId="0" xfId="0" applyNumberFormat="1" applyFont="1" applyBorder="1" applyAlignment="1" applyProtection="1">
      <alignment horizontal="right" vertical="center"/>
    </xf>
    <xf numFmtId="0" fontId="7" fillId="0" borderId="0" xfId="0" applyNumberFormat="1" applyFont="1" applyBorder="1" applyAlignment="1" applyProtection="1">
      <alignment vertical="center"/>
    </xf>
    <xf numFmtId="165" fontId="22" fillId="0" borderId="0" xfId="0" applyNumberFormat="1" applyFont="1" applyAlignment="1" applyProtection="1">
      <alignment horizontal="right" vertical="center"/>
      <protection locked="0"/>
    </xf>
    <xf numFmtId="10" fontId="22" fillId="0" borderId="0" xfId="0" applyNumberFormat="1" applyFont="1" applyAlignment="1" applyProtection="1">
      <alignment horizontal="right" vertical="center"/>
      <protection locked="0"/>
    </xf>
    <xf numFmtId="167" fontId="22" fillId="0" borderId="0" xfId="1" applyNumberFormat="1" applyFont="1" applyFill="1" applyAlignment="1" applyProtection="1">
      <alignment horizontal="right" vertical="center"/>
      <protection locked="0"/>
    </xf>
    <xf numFmtId="0" fontId="22" fillId="33" borderId="0" xfId="0" applyNumberFormat="1" applyFont="1" applyFill="1" applyAlignment="1" applyProtection="1">
      <alignment horizontal="left" vertical="center" wrapText="1"/>
      <protection locked="0"/>
    </xf>
    <xf numFmtId="167" fontId="22" fillId="33" borderId="0" xfId="0" applyNumberFormat="1" applyFont="1" applyFill="1" applyBorder="1" applyAlignment="1" applyProtection="1">
      <alignment horizontal="center" vertical="center"/>
    </xf>
    <xf numFmtId="165" fontId="22" fillId="33" borderId="0" xfId="0" quotePrefix="1" applyNumberFormat="1" applyFont="1" applyFill="1" applyBorder="1" applyAlignment="1" applyProtection="1">
      <alignment horizontal="right" vertical="center"/>
    </xf>
    <xf numFmtId="10" fontId="22" fillId="33" borderId="0" xfId="0" applyNumberFormat="1" applyFont="1" applyFill="1" applyBorder="1" applyAlignment="1" applyProtection="1">
      <alignment horizontal="right" vertical="center"/>
    </xf>
    <xf numFmtId="10" fontId="22" fillId="33" borderId="0" xfId="0" applyNumberFormat="1" applyFont="1" applyFill="1" applyBorder="1" applyAlignment="1" applyProtection="1">
      <alignment horizontal="right" vertical="center"/>
      <protection locked="0"/>
    </xf>
    <xf numFmtId="167" fontId="22" fillId="33" borderId="0" xfId="0" applyNumberFormat="1" applyFont="1" applyFill="1" applyBorder="1" applyAlignment="1" applyProtection="1">
      <alignment horizontal="right" vertical="center"/>
      <protection locked="0"/>
    </xf>
    <xf numFmtId="49" fontId="22" fillId="33" borderId="0" xfId="1" applyNumberFormat="1" applyFont="1" applyFill="1" applyAlignment="1" applyProtection="1">
      <alignment horizontal="left" vertical="center" wrapText="1"/>
      <protection locked="0"/>
    </xf>
    <xf numFmtId="10" fontId="22" fillId="33" borderId="0" xfId="0" quotePrefix="1" applyNumberFormat="1" applyFont="1" applyFill="1" applyBorder="1" applyAlignment="1" applyProtection="1">
      <alignment horizontal="right" vertical="center"/>
      <protection locked="0"/>
    </xf>
    <xf numFmtId="0" fontId="26" fillId="33" borderId="0" xfId="0" applyNumberFormat="1" applyFont="1" applyFill="1" applyBorder="1" applyAlignment="1" applyProtection="1">
      <alignment horizontal="center" vertical="center" wrapText="1"/>
      <protection locked="0"/>
    </xf>
    <xf numFmtId="10" fontId="26" fillId="33" borderId="0" xfId="0" applyNumberFormat="1" applyFont="1" applyFill="1" applyBorder="1" applyAlignment="1" applyProtection="1">
      <alignment horizontal="center" vertical="center" wrapText="1"/>
      <protection locked="0"/>
    </xf>
    <xf numFmtId="0" fontId="22" fillId="35" borderId="0" xfId="0" applyNumberFormat="1" applyFont="1" applyFill="1" applyBorder="1" applyAlignment="1" applyProtection="1">
      <alignment horizontal="left" vertical="center"/>
    </xf>
    <xf numFmtId="166" fontId="22" fillId="35" borderId="0" xfId="0" applyNumberFormat="1" applyFont="1" applyFill="1" applyBorder="1" applyAlignment="1" applyProtection="1">
      <alignment horizontal="right" vertical="center"/>
    </xf>
    <xf numFmtId="7" fontId="22" fillId="35" borderId="0" xfId="0" applyNumberFormat="1" applyFont="1" applyFill="1" applyBorder="1" applyAlignment="1" applyProtection="1">
      <alignment horizontal="right" vertical="center"/>
    </xf>
    <xf numFmtId="0" fontId="0" fillId="35" borderId="0" xfId="0" applyFill="1" applyProtection="1">
      <protection locked="0"/>
    </xf>
    <xf numFmtId="0" fontId="25" fillId="35" borderId="0" xfId="0" applyNumberFormat="1" applyFont="1" applyFill="1" applyAlignment="1" applyProtection="1">
      <alignment horizontal="left" vertical="center"/>
    </xf>
    <xf numFmtId="0" fontId="7" fillId="35" borderId="0" xfId="0" applyFont="1" applyFill="1" applyProtection="1"/>
    <xf numFmtId="0" fontId="22" fillId="35" borderId="0" xfId="0" applyNumberFormat="1" applyFont="1" applyFill="1" applyAlignment="1" applyProtection="1">
      <alignment horizontal="left" vertical="center"/>
      <protection locked="0"/>
    </xf>
    <xf numFmtId="0" fontId="24" fillId="35" borderId="0" xfId="0" applyNumberFormat="1" applyFont="1" applyFill="1" applyAlignment="1" applyProtection="1">
      <alignment horizontal="left" vertical="top"/>
      <protection locked="0"/>
    </xf>
    <xf numFmtId="0" fontId="22" fillId="35" borderId="0" xfId="0" applyNumberFormat="1" applyFont="1" applyFill="1" applyBorder="1" applyAlignment="1" applyProtection="1">
      <alignment horizontal="left" vertical="center"/>
      <protection locked="0"/>
    </xf>
    <xf numFmtId="166" fontId="22" fillId="35" borderId="0" xfId="0" applyNumberFormat="1" applyFont="1" applyFill="1" applyBorder="1" applyAlignment="1" applyProtection="1">
      <alignment horizontal="right" vertical="center"/>
      <protection locked="0"/>
    </xf>
    <xf numFmtId="7" fontId="22" fillId="35" borderId="0" xfId="0" applyNumberFormat="1" applyFont="1" applyFill="1" applyBorder="1" applyAlignment="1" applyProtection="1">
      <alignment horizontal="right" vertical="center"/>
      <protection locked="0"/>
    </xf>
    <xf numFmtId="37" fontId="22" fillId="35" borderId="0" xfId="0" applyNumberFormat="1" applyFont="1" applyFill="1" applyBorder="1" applyAlignment="1" applyProtection="1">
      <alignment horizontal="right" vertical="center"/>
      <protection locked="0"/>
    </xf>
    <xf numFmtId="14" fontId="22" fillId="35" borderId="0" xfId="0" applyNumberFormat="1" applyFont="1" applyFill="1" applyBorder="1" applyAlignment="1" applyProtection="1">
      <alignment horizontal="right" vertical="center"/>
      <protection locked="0"/>
    </xf>
    <xf numFmtId="7" fontId="22" fillId="35" borderId="0" xfId="1" applyNumberFormat="1" applyFont="1" applyFill="1" applyBorder="1" applyAlignment="1" applyProtection="1">
      <alignment horizontal="right" vertical="center"/>
      <protection locked="0"/>
    </xf>
    <xf numFmtId="10" fontId="22" fillId="35" borderId="0" xfId="1" applyNumberFormat="1" applyFont="1" applyFill="1" applyBorder="1" applyAlignment="1" applyProtection="1">
      <alignment horizontal="right" vertical="center"/>
      <protection locked="0"/>
    </xf>
    <xf numFmtId="167" fontId="22" fillId="35" borderId="0" xfId="1" applyNumberFormat="1" applyFont="1" applyFill="1" applyBorder="1" applyAlignment="1" applyProtection="1">
      <alignment horizontal="right" vertical="center"/>
      <protection locked="0"/>
    </xf>
    <xf numFmtId="0" fontId="22" fillId="35" borderId="0" xfId="0" applyNumberFormat="1" applyFont="1" applyFill="1" applyBorder="1" applyAlignment="1" applyProtection="1">
      <alignment vertical="center"/>
      <protection locked="0"/>
    </xf>
    <xf numFmtId="0" fontId="22" fillId="35" borderId="0" xfId="0" applyNumberFormat="1" applyFont="1" applyFill="1" applyAlignment="1" applyProtection="1">
      <alignment horizontal="left" vertical="center" wrapText="1"/>
      <protection locked="0"/>
    </xf>
    <xf numFmtId="165" fontId="22" fillId="35" borderId="0" xfId="0" quotePrefix="1" applyNumberFormat="1" applyFont="1" applyFill="1" applyBorder="1" applyAlignment="1" applyProtection="1">
      <alignment horizontal="right" vertical="center"/>
      <protection locked="0"/>
    </xf>
    <xf numFmtId="10" fontId="22" fillId="35" borderId="0" xfId="1" quotePrefix="1" applyNumberFormat="1" applyFont="1" applyFill="1" applyBorder="1" applyAlignment="1" applyProtection="1">
      <alignment horizontal="right" vertical="center"/>
      <protection locked="0"/>
    </xf>
    <xf numFmtId="10" fontId="22" fillId="35" borderId="0" xfId="0" applyNumberFormat="1" applyFont="1" applyFill="1" applyBorder="1" applyAlignment="1" applyProtection="1">
      <alignment horizontal="right" vertical="center"/>
      <protection locked="0"/>
    </xf>
    <xf numFmtId="10" fontId="22" fillId="35" borderId="0" xfId="0" quotePrefix="1" applyNumberFormat="1" applyFont="1" applyFill="1" applyBorder="1" applyAlignment="1" applyProtection="1">
      <alignment horizontal="right" vertical="center"/>
      <protection locked="0"/>
    </xf>
    <xf numFmtId="167" fontId="22" fillId="35" borderId="0" xfId="0" quotePrefix="1" applyNumberFormat="1" applyFont="1" applyFill="1" applyBorder="1" applyAlignment="1" applyProtection="1">
      <alignment horizontal="right" vertical="center"/>
      <protection locked="0"/>
    </xf>
    <xf numFmtId="167" fontId="22" fillId="35" borderId="0" xfId="0" quotePrefix="1" applyNumberFormat="1" applyFont="1" applyFill="1" applyBorder="1" applyAlignment="1" applyProtection="1">
      <alignment horizontal="center" vertical="center"/>
      <protection locked="0"/>
    </xf>
    <xf numFmtId="49" fontId="22" fillId="35" borderId="0" xfId="1" applyNumberFormat="1" applyFont="1" applyFill="1" applyAlignment="1" applyProtection="1">
      <alignment horizontal="left" vertical="center" wrapText="1"/>
      <protection locked="0"/>
    </xf>
    <xf numFmtId="0" fontId="26" fillId="35" borderId="0" xfId="0" applyNumberFormat="1" applyFont="1" applyFill="1" applyBorder="1" applyAlignment="1" applyProtection="1">
      <alignment horizontal="center" vertical="center" wrapText="1"/>
      <protection locked="0"/>
    </xf>
    <xf numFmtId="10" fontId="26" fillId="35" borderId="0" xfId="0" applyNumberFormat="1" applyFont="1" applyFill="1" applyBorder="1" applyAlignment="1" applyProtection="1">
      <alignment horizontal="center" vertical="center" wrapText="1"/>
      <protection locked="0"/>
    </xf>
    <xf numFmtId="0" fontId="0" fillId="35" borderId="0" xfId="0" applyFill="1" applyBorder="1" applyProtection="1">
      <protection locked="0"/>
    </xf>
    <xf numFmtId="165" fontId="26" fillId="34" borderId="9" xfId="0" applyNumberFormat="1" applyFont="1" applyFill="1" applyBorder="1" applyAlignment="1" applyProtection="1">
      <alignment horizontal="right" vertical="center"/>
    </xf>
    <xf numFmtId="0" fontId="0" fillId="0" borderId="0" xfId="0" applyBorder="1" applyProtection="1">
      <protection locked="0"/>
    </xf>
    <xf numFmtId="10" fontId="26" fillId="34" borderId="9" xfId="0" applyNumberFormat="1" applyFont="1" applyFill="1" applyBorder="1" applyAlignment="1" applyProtection="1">
      <alignment horizontal="right" vertical="center"/>
    </xf>
    <xf numFmtId="10" fontId="22" fillId="0" borderId="0" xfId="0" applyNumberFormat="1" applyFont="1" applyBorder="1" applyAlignment="1" applyProtection="1">
      <alignment horizontal="right" vertical="center"/>
      <protection locked="0"/>
    </xf>
    <xf numFmtId="14" fontId="22" fillId="0" borderId="0" xfId="0" applyNumberFormat="1" applyFont="1" applyBorder="1" applyAlignment="1" applyProtection="1">
      <alignment horizontal="right" vertical="center"/>
      <protection locked="0"/>
    </xf>
    <xf numFmtId="165" fontId="22" fillId="0" borderId="0" xfId="0" applyNumberFormat="1" applyFont="1" applyBorder="1" applyAlignment="1" applyProtection="1">
      <alignment horizontal="right" vertical="center"/>
      <protection locked="0"/>
    </xf>
    <xf numFmtId="10" fontId="22" fillId="0" borderId="0" xfId="1" applyNumberFormat="1" applyFont="1" applyFill="1" applyBorder="1" applyAlignment="1" applyProtection="1">
      <alignment horizontal="right" vertical="center"/>
      <protection locked="0"/>
    </xf>
    <xf numFmtId="167" fontId="22" fillId="0" borderId="0" xfId="1" applyNumberFormat="1" applyFont="1" applyFill="1" applyAlignment="1" applyProtection="1">
      <alignment horizontal="center" vertical="center"/>
      <protection locked="0"/>
    </xf>
    <xf numFmtId="7" fontId="23" fillId="0" borderId="0" xfId="0" applyNumberFormat="1" applyFont="1" applyBorder="1" applyAlignment="1" applyProtection="1">
      <alignment horizontal="left" vertical="center"/>
    </xf>
    <xf numFmtId="0" fontId="39" fillId="33" borderId="0" xfId="0" applyFont="1" applyFill="1" applyBorder="1" applyAlignment="1" applyProtection="1">
      <alignment horizontal="center" vertical="center"/>
    </xf>
    <xf numFmtId="1" fontId="25" fillId="33" borderId="0" xfId="0" applyNumberFormat="1" applyFont="1" applyFill="1" applyBorder="1" applyAlignment="1" applyProtection="1">
      <alignment horizontal="center" vertical="center"/>
    </xf>
    <xf numFmtId="166" fontId="7" fillId="33" borderId="0" xfId="0" applyNumberFormat="1" applyFont="1" applyFill="1" applyBorder="1" applyAlignment="1" applyProtection="1">
      <alignment horizontal="right" vertical="center"/>
    </xf>
    <xf numFmtId="10" fontId="7" fillId="33" borderId="0" xfId="0" applyNumberFormat="1" applyFont="1" applyFill="1" applyBorder="1" applyAlignment="1" applyProtection="1">
      <alignment horizontal="right" vertical="center"/>
    </xf>
    <xf numFmtId="0" fontId="7" fillId="33" borderId="0" xfId="0" applyNumberFormat="1" applyFont="1" applyFill="1" applyBorder="1" applyAlignment="1" applyProtection="1">
      <alignment vertical="center"/>
    </xf>
    <xf numFmtId="167" fontId="41" fillId="34" borderId="14" xfId="0" quotePrefix="1" applyNumberFormat="1" applyFont="1" applyFill="1" applyBorder="1" applyAlignment="1" applyProtection="1">
      <alignment horizontal="center" vertical="center"/>
      <protection locked="0"/>
    </xf>
    <xf numFmtId="49" fontId="32" fillId="33" borderId="15" xfId="1" applyNumberFormat="1" applyFont="1" applyFill="1" applyBorder="1" applyAlignment="1" applyProtection="1">
      <alignment horizontal="center" vertical="center" wrapText="1"/>
      <protection locked="0"/>
    </xf>
    <xf numFmtId="0" fontId="42" fillId="33" borderId="0" xfId="0" applyNumberFormat="1" applyFont="1" applyFill="1" applyAlignment="1" applyProtection="1">
      <alignment horizontal="left" vertical="top"/>
      <protection locked="0"/>
    </xf>
    <xf numFmtId="0" fontId="0" fillId="0" borderId="0" xfId="0" applyAlignment="1" applyProtection="1">
      <alignment horizontal="left" vertical="center"/>
      <protection locked="0"/>
    </xf>
    <xf numFmtId="0" fontId="44" fillId="0" borderId="0" xfId="0" applyFont="1"/>
    <xf numFmtId="1" fontId="22" fillId="0" borderId="0" xfId="1" applyNumberFormat="1" applyFont="1" applyFill="1" applyBorder="1" applyAlignment="1" applyProtection="1">
      <alignment horizontal="right" vertical="center"/>
      <protection locked="0"/>
    </xf>
    <xf numFmtId="1" fontId="22" fillId="0" borderId="0" xfId="1" applyNumberFormat="1" applyFont="1" applyFill="1" applyAlignment="1" applyProtection="1">
      <alignment horizontal="right" vertical="center"/>
      <protection locked="0"/>
    </xf>
    <xf numFmtId="0" fontId="0" fillId="0" borderId="0" xfId="0" applyProtection="1">
      <protection hidden="1"/>
    </xf>
    <xf numFmtId="1" fontId="0" fillId="0" borderId="0" xfId="0" quotePrefix="1" applyNumberFormat="1" applyAlignment="1" applyProtection="1">
      <alignment horizontal="center"/>
      <protection hidden="1"/>
    </xf>
    <xf numFmtId="1" fontId="38" fillId="0" borderId="0" xfId="0" quotePrefix="1" applyNumberFormat="1" applyFont="1" applyAlignment="1" applyProtection="1">
      <alignment horizontal="center"/>
      <protection hidden="1"/>
    </xf>
    <xf numFmtId="1" fontId="23" fillId="0" borderId="0" xfId="0" quotePrefix="1" applyNumberFormat="1" applyFont="1" applyAlignment="1" applyProtection="1">
      <alignment horizontal="center"/>
      <protection hidden="1"/>
    </xf>
    <xf numFmtId="0" fontId="0" fillId="0" borderId="0" xfId="0" quotePrefix="1" applyAlignment="1" applyProtection="1">
      <alignment horizontal="center"/>
      <protection hidden="1"/>
    </xf>
    <xf numFmtId="0" fontId="23" fillId="0" borderId="0" xfId="0" quotePrefix="1" applyFont="1" applyAlignment="1" applyProtection="1">
      <alignment horizontal="center"/>
      <protection hidden="1"/>
    </xf>
    <xf numFmtId="9" fontId="0" fillId="0" borderId="0" xfId="1" applyFont="1" applyAlignment="1" applyProtection="1">
      <alignment horizontal="center"/>
      <protection hidden="1"/>
    </xf>
    <xf numFmtId="0" fontId="0" fillId="0" borderId="0" xfId="0" applyAlignment="1" applyProtection="1">
      <alignment horizontal="center"/>
      <protection hidden="1"/>
    </xf>
    <xf numFmtId="0" fontId="6" fillId="0" borderId="0" xfId="0" applyFont="1" applyAlignment="1" applyProtection="1">
      <alignment horizontal="center"/>
      <protection hidden="1"/>
    </xf>
    <xf numFmtId="0" fontId="0" fillId="0" borderId="0" xfId="0" quotePrefix="1" applyFont="1" applyAlignment="1" applyProtection="1">
      <alignment horizontal="center"/>
      <protection hidden="1"/>
    </xf>
    <xf numFmtId="0" fontId="0" fillId="0" borderId="0" xfId="0" applyFont="1" applyAlignment="1" applyProtection="1">
      <alignment horizontal="center"/>
      <protection hidden="1"/>
    </xf>
    <xf numFmtId="1" fontId="0" fillId="0" borderId="0" xfId="1" applyNumberFormat="1" applyFont="1" applyAlignment="1" applyProtection="1">
      <alignment horizontal="center"/>
      <protection hidden="1"/>
    </xf>
    <xf numFmtId="170" fontId="0" fillId="0" borderId="0" xfId="1" quotePrefix="1" applyNumberFormat="1" applyFont="1" applyAlignment="1" applyProtection="1">
      <alignment horizontal="center"/>
      <protection hidden="1"/>
    </xf>
    <xf numFmtId="1" fontId="0" fillId="0" borderId="0" xfId="1" quotePrefix="1" applyNumberFormat="1" applyFont="1" applyAlignment="1" applyProtection="1">
      <alignment horizontal="center"/>
      <protection hidden="1"/>
    </xf>
    <xf numFmtId="1" fontId="0" fillId="0" borderId="0" xfId="0" quotePrefix="1" applyNumberFormat="1" applyFont="1" applyAlignment="1" applyProtection="1">
      <alignment horizontal="center"/>
      <protection hidden="1"/>
    </xf>
    <xf numFmtId="10" fontId="0" fillId="0" borderId="0" xfId="1" applyNumberFormat="1" applyFont="1" applyProtection="1">
      <protection locked="0"/>
    </xf>
    <xf numFmtId="165" fontId="22" fillId="0" borderId="0" xfId="1" applyNumberFormat="1" applyFont="1" applyFill="1" applyAlignment="1" applyProtection="1">
      <alignment horizontal="right" vertical="center"/>
      <protection locked="0"/>
    </xf>
    <xf numFmtId="49" fontId="40" fillId="36" borderId="17" xfId="1" applyNumberFormat="1" applyFont="1" applyFill="1" applyBorder="1" applyAlignment="1" applyProtection="1">
      <alignment horizontal="center" vertical="center" wrapText="1"/>
    </xf>
    <xf numFmtId="49" fontId="40" fillId="36" borderId="16" xfId="1" applyNumberFormat="1" applyFont="1" applyFill="1" applyBorder="1" applyAlignment="1" applyProtection="1">
      <alignment horizontal="center" vertical="center" wrapText="1"/>
    </xf>
    <xf numFmtId="0" fontId="0" fillId="0" borderId="0" xfId="0" applyAlignment="1">
      <alignment horizontal="left" indent="5"/>
    </xf>
    <xf numFmtId="2" fontId="0" fillId="0" borderId="0" xfId="0" applyNumberFormat="1" applyProtection="1">
      <protection locked="0" hidden="1"/>
    </xf>
    <xf numFmtId="0" fontId="0" fillId="0" borderId="0" xfId="0" applyProtection="1">
      <protection locked="0" hidden="1"/>
    </xf>
    <xf numFmtId="165" fontId="0" fillId="0" borderId="0" xfId="0" applyNumberFormat="1" applyProtection="1">
      <protection hidden="1"/>
    </xf>
    <xf numFmtId="49" fontId="22" fillId="33" borderId="0" xfId="0" applyNumberFormat="1" applyFont="1" applyFill="1" applyBorder="1" applyAlignment="1" applyProtection="1">
      <alignment horizontal="left" vertical="center" wrapText="1"/>
      <protection locked="0"/>
    </xf>
    <xf numFmtId="0" fontId="31" fillId="33" borderId="0" xfId="0" applyFont="1" applyFill="1" applyBorder="1" applyAlignment="1" applyProtection="1">
      <alignment horizontal="center" vertical="center"/>
    </xf>
    <xf numFmtId="14" fontId="22" fillId="33" borderId="0" xfId="0" applyNumberFormat="1" applyFont="1" applyFill="1" applyBorder="1" applyAlignment="1" applyProtection="1">
      <alignment horizontal="center" vertical="center" wrapText="1"/>
    </xf>
    <xf numFmtId="0" fontId="31" fillId="33" borderId="0" xfId="0" applyFont="1" applyFill="1" applyBorder="1" applyAlignment="1" applyProtection="1">
      <alignment horizontal="center" vertical="top"/>
    </xf>
    <xf numFmtId="167" fontId="22" fillId="33" borderId="0" xfId="1" applyNumberFormat="1" applyFont="1" applyFill="1" applyBorder="1" applyAlignment="1" applyProtection="1">
      <alignment horizontal="right" vertical="center"/>
    </xf>
    <xf numFmtId="49" fontId="22" fillId="33" borderId="0" xfId="0" applyNumberFormat="1" applyFont="1" applyFill="1" applyBorder="1" applyAlignment="1" applyProtection="1">
      <alignment horizontal="center" vertical="top" wrapText="1"/>
      <protection locked="0"/>
    </xf>
    <xf numFmtId="0" fontId="22" fillId="0" borderId="0" xfId="0" applyNumberFormat="1" applyFont="1" applyBorder="1" applyAlignment="1" applyProtection="1">
      <alignment horizontal="center" vertical="center"/>
      <protection locked="0"/>
    </xf>
    <xf numFmtId="0" fontId="22" fillId="33" borderId="0" xfId="0" applyNumberFormat="1" applyFont="1" applyFill="1" applyBorder="1" applyAlignment="1" applyProtection="1">
      <alignment horizontal="center" vertical="center"/>
      <protection locked="0"/>
    </xf>
    <xf numFmtId="0" fontId="22" fillId="0" borderId="0" xfId="0" applyNumberFormat="1" applyFont="1" applyAlignment="1" applyProtection="1">
      <alignment horizontal="center" vertical="center"/>
      <protection locked="0"/>
    </xf>
    <xf numFmtId="0" fontId="0" fillId="0" borderId="0" xfId="0" applyAlignment="1" applyProtection="1">
      <alignment horizontal="center"/>
      <protection locked="0"/>
    </xf>
    <xf numFmtId="0" fontId="31" fillId="36" borderId="18" xfId="0" applyFont="1" applyFill="1" applyBorder="1" applyAlignment="1" applyProtection="1">
      <alignment horizontal="center"/>
      <protection locked="0"/>
    </xf>
    <xf numFmtId="10" fontId="22" fillId="33" borderId="0" xfId="1" applyNumberFormat="1" applyFont="1" applyFill="1" applyBorder="1" applyAlignment="1" applyProtection="1">
      <alignment horizontal="left" vertical="center"/>
      <protection locked="0"/>
    </xf>
    <xf numFmtId="0" fontId="0" fillId="33" borderId="0" xfId="0" applyFill="1"/>
    <xf numFmtId="0" fontId="23" fillId="32" borderId="0" xfId="0" applyFont="1" applyFill="1" applyAlignment="1" applyProtection="1">
      <alignment horizontal="left" vertical="center"/>
      <protection locked="0"/>
    </xf>
    <xf numFmtId="0" fontId="0" fillId="0" borderId="0" xfId="0" applyFont="1"/>
    <xf numFmtId="0" fontId="0" fillId="0" borderId="0" xfId="0" quotePrefix="1"/>
    <xf numFmtId="7" fontId="22" fillId="0" borderId="0" xfId="0" applyNumberFormat="1" applyFont="1" applyAlignment="1" applyProtection="1">
      <alignment horizontal="right" vertical="center"/>
      <protection hidden="1"/>
    </xf>
    <xf numFmtId="10" fontId="22" fillId="0" borderId="0" xfId="1" applyNumberFormat="1" applyFont="1" applyFill="1" applyAlignment="1" applyProtection="1">
      <alignment horizontal="right" vertical="center"/>
      <protection hidden="1"/>
    </xf>
    <xf numFmtId="165" fontId="22" fillId="0" borderId="0" xfId="0" applyNumberFormat="1" applyFont="1" applyAlignment="1" applyProtection="1">
      <alignment horizontal="right" vertical="center"/>
      <protection hidden="1"/>
    </xf>
    <xf numFmtId="165" fontId="22" fillId="0" borderId="0" xfId="1" applyNumberFormat="1" applyFont="1" applyFill="1" applyAlignment="1" applyProtection="1">
      <alignment horizontal="right" vertical="center"/>
      <protection hidden="1"/>
    </xf>
    <xf numFmtId="10" fontId="22" fillId="0" borderId="0" xfId="0" applyNumberFormat="1" applyFont="1" applyAlignment="1" applyProtection="1">
      <alignment horizontal="right" vertical="center"/>
      <protection hidden="1"/>
    </xf>
    <xf numFmtId="167" fontId="22" fillId="0" borderId="0" xfId="1" applyNumberFormat="1" applyFont="1" applyFill="1" applyAlignment="1" applyProtection="1">
      <alignment horizontal="right" vertical="center"/>
      <protection hidden="1"/>
    </xf>
    <xf numFmtId="0" fontId="22" fillId="0" borderId="0" xfId="1" applyNumberFormat="1" applyFont="1" applyFill="1" applyAlignment="1" applyProtection="1">
      <alignment horizontal="right" vertical="center"/>
      <protection locked="0"/>
    </xf>
    <xf numFmtId="1" fontId="0" fillId="0" borderId="0" xfId="0" applyNumberFormat="1" applyProtection="1">
      <protection hidden="1"/>
    </xf>
    <xf numFmtId="0" fontId="23" fillId="0" borderId="0" xfId="0" applyFont="1" applyAlignment="1" applyProtection="1">
      <alignment horizontal="left" vertical="center"/>
      <protection locked="0"/>
    </xf>
    <xf numFmtId="173" fontId="23" fillId="0" borderId="0" xfId="0" applyNumberFormat="1" applyFont="1" applyAlignment="1" applyProtection="1">
      <alignment horizontal="center" vertical="center"/>
      <protection locked="0"/>
    </xf>
    <xf numFmtId="173" fontId="23" fillId="0" borderId="0" xfId="0" applyNumberFormat="1" applyFont="1" applyBorder="1" applyAlignment="1" applyProtection="1">
      <alignment horizontal="center" vertical="center"/>
      <protection locked="0"/>
    </xf>
    <xf numFmtId="0" fontId="23" fillId="0" borderId="0" xfId="0" quotePrefix="1" applyNumberFormat="1" applyFont="1" applyBorder="1" applyAlignment="1" applyProtection="1">
      <alignment horizontal="left" vertical="center"/>
      <protection locked="0"/>
    </xf>
    <xf numFmtId="0" fontId="23" fillId="0" borderId="0" xfId="0" quotePrefix="1" applyNumberFormat="1" applyFont="1" applyBorder="1" applyAlignment="1" applyProtection="1">
      <alignment vertical="center"/>
      <protection locked="0"/>
    </xf>
    <xf numFmtId="173" fontId="23" fillId="0" borderId="0" xfId="0" applyNumberFormat="1" applyFont="1" applyAlignment="1" applyProtection="1">
      <alignment horizontal="center" vertical="top"/>
      <protection locked="0"/>
    </xf>
    <xf numFmtId="173" fontId="0" fillId="0" borderId="0" xfId="0" applyNumberFormat="1"/>
    <xf numFmtId="0" fontId="23" fillId="0" borderId="0" xfId="0" applyFont="1" applyAlignment="1" applyProtection="1">
      <alignment horizontal="left" vertical="top"/>
      <protection locked="0"/>
    </xf>
    <xf numFmtId="173" fontId="28" fillId="32" borderId="0" xfId="0" applyNumberFormat="1" applyFont="1" applyFill="1" applyAlignment="1" applyProtection="1">
      <alignment horizontal="left" vertical="center" indent="1"/>
      <protection locked="0"/>
    </xf>
    <xf numFmtId="173" fontId="23" fillId="32" borderId="0" xfId="0" applyNumberFormat="1" applyFont="1" applyFill="1" applyAlignment="1" applyProtection="1">
      <alignment horizontal="center" vertical="center"/>
      <protection locked="0"/>
    </xf>
    <xf numFmtId="0" fontId="23" fillId="32" borderId="0" xfId="0" applyFont="1" applyFill="1" applyAlignment="1" applyProtection="1">
      <alignment horizontal="left" vertical="center" indent="1"/>
      <protection locked="0"/>
    </xf>
    <xf numFmtId="0" fontId="23" fillId="32" borderId="0" xfId="0" quotePrefix="1" applyFont="1" applyFill="1" applyAlignment="1" applyProtection="1">
      <alignment vertical="center"/>
      <protection locked="0"/>
    </xf>
    <xf numFmtId="0" fontId="0" fillId="32" borderId="0" xfId="0" quotePrefix="1" applyFill="1" applyAlignment="1"/>
    <xf numFmtId="173" fontId="23" fillId="37" borderId="0" xfId="0" applyNumberFormat="1" applyFont="1" applyFill="1" applyAlignment="1" applyProtection="1">
      <alignment horizontal="center" vertical="center"/>
      <protection locked="0"/>
    </xf>
    <xf numFmtId="0" fontId="23" fillId="37" borderId="0" xfId="0" applyFont="1" applyFill="1" applyAlignment="1" applyProtection="1">
      <alignment horizontal="center" vertical="center"/>
      <protection locked="0"/>
    </xf>
    <xf numFmtId="0" fontId="46" fillId="37" borderId="0" xfId="0" applyFont="1" applyFill="1" applyAlignment="1" applyProtection="1">
      <alignment horizontal="left" vertical="center" indent="2"/>
      <protection locked="0"/>
    </xf>
    <xf numFmtId="0" fontId="0" fillId="37" borderId="0" xfId="0" applyFill="1"/>
    <xf numFmtId="0" fontId="23" fillId="37" borderId="0" xfId="0" applyFont="1" applyFill="1" applyAlignment="1" applyProtection="1">
      <alignment horizontal="left" vertical="center"/>
      <protection locked="0"/>
    </xf>
    <xf numFmtId="0" fontId="23" fillId="37" borderId="0" xfId="0" applyFont="1" applyFill="1" applyAlignment="1" applyProtection="1">
      <alignment horizontal="centerContinuous" vertical="center" wrapText="1"/>
      <protection locked="0"/>
    </xf>
    <xf numFmtId="0" fontId="23" fillId="37" borderId="0" xfId="0" applyFont="1" applyFill="1" applyAlignment="1" applyProtection="1">
      <alignment horizontal="left" vertical="center" indent="2"/>
      <protection locked="0"/>
    </xf>
    <xf numFmtId="0" fontId="23" fillId="37" borderId="0" xfId="0" applyFont="1" applyFill="1" applyAlignment="1" applyProtection="1">
      <alignment horizontal="centerContinuous" vertical="center"/>
      <protection locked="0"/>
    </xf>
    <xf numFmtId="0" fontId="36" fillId="0" borderId="0" xfId="4" applyFont="1" applyBorder="1" applyAlignment="1">
      <alignment horizontal="center" wrapText="1"/>
    </xf>
    <xf numFmtId="0" fontId="0" fillId="0" borderId="0" xfId="0" applyAlignment="1">
      <alignment vertical="center"/>
    </xf>
    <xf numFmtId="0" fontId="34" fillId="0" borderId="0" xfId="4" applyFont="1" applyFill="1" applyBorder="1" applyAlignment="1">
      <alignment horizontal="center" vertical="center"/>
    </xf>
    <xf numFmtId="172" fontId="36" fillId="0" borderId="21" xfId="4" applyNumberFormat="1" applyFont="1" applyBorder="1" applyAlignment="1" applyProtection="1">
      <alignment horizontal="center" vertical="center"/>
      <protection hidden="1"/>
    </xf>
    <xf numFmtId="0" fontId="0" fillId="0" borderId="0" xfId="0" applyAlignment="1" applyProtection="1">
      <alignment vertical="center"/>
      <protection hidden="1"/>
    </xf>
    <xf numFmtId="17" fontId="36" fillId="0" borderId="22" xfId="4" applyNumberFormat="1" applyFont="1" applyBorder="1" applyAlignment="1" applyProtection="1">
      <alignment horizontal="center" vertical="center"/>
      <protection hidden="1"/>
    </xf>
    <xf numFmtId="0" fontId="37" fillId="0" borderId="21" xfId="4" applyFont="1" applyBorder="1" applyAlignment="1">
      <alignment horizontal="center"/>
    </xf>
    <xf numFmtId="0" fontId="22" fillId="0" borderId="0" xfId="0" applyNumberFormat="1" applyFont="1" applyBorder="1" applyAlignment="1" applyProtection="1">
      <alignment horizontal="left" vertical="center"/>
      <protection locked="0"/>
    </xf>
    <xf numFmtId="0" fontId="32" fillId="0" borderId="0" xfId="0" applyNumberFormat="1" applyFont="1" applyBorder="1" applyAlignment="1" applyProtection="1">
      <alignment horizontal="center" vertical="center" wrapText="1"/>
      <protection locked="0"/>
    </xf>
    <xf numFmtId="171" fontId="22" fillId="0" borderId="0" xfId="44" applyNumberFormat="1" applyFont="1" applyFill="1" applyBorder="1" applyAlignment="1" applyProtection="1">
      <alignment horizontal="right" vertical="center"/>
      <protection locked="0"/>
    </xf>
    <xf numFmtId="7" fontId="32" fillId="0" borderId="0" xfId="0" applyNumberFormat="1" applyFont="1" applyBorder="1" applyAlignment="1" applyProtection="1">
      <alignment horizontal="center" vertical="center" wrapText="1"/>
      <protection locked="0"/>
    </xf>
    <xf numFmtId="2" fontId="22" fillId="0" borderId="0" xfId="1" applyNumberFormat="1" applyFont="1" applyFill="1" applyBorder="1" applyAlignment="1" applyProtection="1">
      <alignment horizontal="right" vertical="center"/>
    </xf>
    <xf numFmtId="10" fontId="22" fillId="0" borderId="0" xfId="1" applyNumberFormat="1" applyFont="1" applyFill="1" applyBorder="1" applyAlignment="1" applyProtection="1">
      <alignment horizontal="left" vertical="center" wrapText="1"/>
      <protection locked="0"/>
    </xf>
    <xf numFmtId="169" fontId="22" fillId="0" borderId="0" xfId="0" applyNumberFormat="1" applyFont="1" applyBorder="1" applyAlignment="1" applyProtection="1">
      <alignment horizontal="right" vertical="center"/>
      <protection locked="0"/>
    </xf>
    <xf numFmtId="7" fontId="32" fillId="0" borderId="0" xfId="1" applyNumberFormat="1" applyFont="1" applyFill="1" applyBorder="1" applyAlignment="1" applyProtection="1">
      <alignment horizontal="center" vertical="center" wrapText="1"/>
      <protection locked="0"/>
    </xf>
    <xf numFmtId="171" fontId="22" fillId="0" borderId="0" xfId="44" applyNumberFormat="1" applyFont="1" applyFill="1" applyBorder="1" applyAlignment="1" applyProtection="1">
      <alignment horizontal="right" vertical="center"/>
    </xf>
    <xf numFmtId="167" fontId="22" fillId="0" borderId="0" xfId="1" applyNumberFormat="1" applyFont="1" applyFill="1" applyBorder="1" applyAlignment="1" applyProtection="1">
      <alignment horizontal="center" vertical="center"/>
      <protection locked="0"/>
    </xf>
    <xf numFmtId="167" fontId="22" fillId="0" borderId="0" xfId="1" applyNumberFormat="1" applyFont="1" applyFill="1" applyBorder="1" applyAlignment="1" applyProtection="1">
      <alignment horizontal="right" vertical="center"/>
    </xf>
    <xf numFmtId="37" fontId="22" fillId="0" borderId="0" xfId="0" applyNumberFormat="1" applyFont="1" applyBorder="1" applyAlignment="1" applyProtection="1">
      <alignment horizontal="right" vertical="center"/>
      <protection locked="0"/>
    </xf>
    <xf numFmtId="7" fontId="22" fillId="0" borderId="0" xfId="0" applyNumberFormat="1" applyFont="1" applyBorder="1" applyAlignment="1" applyProtection="1">
      <alignment horizontal="right" vertical="center"/>
    </xf>
    <xf numFmtId="2" fontId="22" fillId="0" borderId="0" xfId="1" applyNumberFormat="1" applyFont="1" applyFill="1" applyBorder="1" applyAlignment="1" applyProtection="1">
      <alignment horizontal="right" vertical="center"/>
      <protection locked="0"/>
    </xf>
    <xf numFmtId="7" fontId="22" fillId="0" borderId="0" xfId="1" applyNumberFormat="1" applyFont="1" applyFill="1" applyBorder="1" applyAlignment="1" applyProtection="1">
      <alignment horizontal="right" vertical="center"/>
    </xf>
    <xf numFmtId="10" fontId="22" fillId="0" borderId="0" xfId="1" applyNumberFormat="1" applyFont="1" applyFill="1" applyBorder="1" applyAlignment="1" applyProtection="1">
      <alignment horizontal="right" vertical="center"/>
    </xf>
    <xf numFmtId="174" fontId="22" fillId="0" borderId="0" xfId="0" applyNumberFormat="1" applyFont="1" applyAlignment="1" applyProtection="1">
      <alignment horizontal="right" vertical="center"/>
      <protection locked="0"/>
    </xf>
    <xf numFmtId="0" fontId="23" fillId="0" borderId="0" xfId="0" applyFont="1" applyAlignment="1" applyProtection="1">
      <alignment horizontal="centerContinuous" vertical="center" wrapText="1"/>
      <protection locked="0"/>
    </xf>
    <xf numFmtId="0" fontId="0" fillId="0" borderId="0" xfId="0" pivotButton="1"/>
    <xf numFmtId="0" fontId="0" fillId="0" borderId="0" xfId="0" applyAlignment="1">
      <alignment horizontal="left"/>
    </xf>
    <xf numFmtId="0" fontId="0" fillId="0" borderId="0" xfId="0" applyNumberFormat="1"/>
    <xf numFmtId="7" fontId="22" fillId="0" borderId="0" xfId="1" applyNumberFormat="1" applyFont="1" applyFill="1" applyAlignment="1" applyProtection="1">
      <alignment horizontal="right" vertical="center"/>
      <protection hidden="1"/>
    </xf>
    <xf numFmtId="0" fontId="24" fillId="33" borderId="0" xfId="0" applyNumberFormat="1" applyFont="1" applyFill="1" applyAlignment="1" applyProtection="1">
      <alignment horizontal="left" vertical="center"/>
    </xf>
    <xf numFmtId="0" fontId="22" fillId="33" borderId="0" xfId="0" applyNumberFormat="1" applyFont="1" applyFill="1" applyBorder="1" applyAlignment="1" applyProtection="1">
      <alignment horizontal="center" vertical="center"/>
    </xf>
    <xf numFmtId="14" fontId="22" fillId="0" borderId="0" xfId="0" applyNumberFormat="1" applyFont="1" applyBorder="1" applyAlignment="1" applyProtection="1">
      <alignment horizontal="right" vertical="center"/>
    </xf>
    <xf numFmtId="37" fontId="22" fillId="0" borderId="0" xfId="0" applyNumberFormat="1" applyFont="1" applyBorder="1" applyAlignment="1" applyProtection="1">
      <alignment horizontal="right" vertical="center"/>
    </xf>
    <xf numFmtId="10" fontId="22" fillId="0" borderId="0" xfId="1" applyNumberFormat="1" applyFont="1" applyFill="1" applyBorder="1" applyAlignment="1" applyProtection="1">
      <alignment horizontal="left" vertical="center"/>
    </xf>
    <xf numFmtId="167" fontId="22" fillId="0" borderId="0" xfId="1" applyNumberFormat="1" applyFont="1" applyFill="1" applyBorder="1" applyAlignment="1" applyProtection="1">
      <alignment horizontal="center" vertical="center"/>
    </xf>
    <xf numFmtId="4" fontId="22" fillId="0" borderId="0" xfId="1" applyNumberFormat="1" applyFont="1" applyFill="1" applyBorder="1" applyAlignment="1" applyProtection="1">
      <alignment horizontal="right" vertical="center"/>
    </xf>
    <xf numFmtId="165" fontId="22" fillId="0" borderId="0" xfId="0" applyNumberFormat="1" applyFont="1" applyBorder="1" applyAlignment="1" applyProtection="1">
      <alignment horizontal="left" vertical="center" wrapText="1"/>
    </xf>
    <xf numFmtId="0" fontId="7" fillId="0" borderId="0" xfId="0" applyFont="1" applyBorder="1" applyAlignment="1" applyProtection="1">
      <alignment horizontal="left" vertical="center"/>
    </xf>
    <xf numFmtId="49" fontId="22" fillId="33" borderId="0" xfId="0" applyNumberFormat="1" applyFont="1" applyFill="1" applyBorder="1" applyAlignment="1" applyProtection="1">
      <alignment horizontal="left" vertical="center" wrapText="1"/>
    </xf>
    <xf numFmtId="0" fontId="26" fillId="39" borderId="8" xfId="0" applyNumberFormat="1" applyFont="1" applyFill="1" applyBorder="1" applyAlignment="1" applyProtection="1">
      <alignment horizontal="center" vertical="top" wrapText="1"/>
    </xf>
    <xf numFmtId="0" fontId="26" fillId="39" borderId="8" xfId="0" applyNumberFormat="1" applyFont="1" applyFill="1" applyBorder="1" applyAlignment="1" applyProtection="1">
      <alignment horizontal="center" vertical="top" wrapText="1"/>
      <protection locked="0"/>
    </xf>
    <xf numFmtId="0" fontId="26" fillId="38" borderId="8" xfId="0" applyNumberFormat="1" applyFont="1" applyFill="1" applyBorder="1" applyAlignment="1" applyProtection="1">
      <alignment horizontal="center" vertical="top" wrapText="1"/>
      <protection hidden="1"/>
    </xf>
    <xf numFmtId="2" fontId="26" fillId="39" borderId="8" xfId="0" applyNumberFormat="1" applyFont="1" applyFill="1" applyBorder="1" applyAlignment="1" applyProtection="1">
      <alignment horizontal="center" vertical="top" wrapText="1"/>
    </xf>
    <xf numFmtId="0" fontId="26" fillId="38" borderId="8" xfId="0" applyNumberFormat="1" applyFont="1" applyFill="1" applyBorder="1" applyAlignment="1" applyProtection="1">
      <alignment horizontal="center" vertical="top" wrapText="1"/>
      <protection locked="0" hidden="1"/>
    </xf>
    <xf numFmtId="165" fontId="26" fillId="38" borderId="8" xfId="0" applyNumberFormat="1" applyFont="1" applyFill="1" applyBorder="1" applyAlignment="1" applyProtection="1">
      <alignment horizontal="center" vertical="top" wrapText="1"/>
      <protection hidden="1"/>
    </xf>
    <xf numFmtId="0" fontId="26" fillId="39" borderId="19" xfId="0" applyNumberFormat="1" applyFont="1" applyFill="1" applyBorder="1" applyAlignment="1" applyProtection="1">
      <alignment horizontal="center" vertical="top" wrapText="1"/>
      <protection locked="0"/>
    </xf>
    <xf numFmtId="0" fontId="26" fillId="39" borderId="20" xfId="0" applyNumberFormat="1" applyFont="1" applyFill="1" applyBorder="1" applyAlignment="1" applyProtection="1">
      <alignment horizontal="center" vertical="top" wrapText="1"/>
      <protection locked="0"/>
    </xf>
    <xf numFmtId="0" fontId="0" fillId="0" borderId="0" xfId="0" applyAlignment="1" applyProtection="1">
      <alignment horizontal="center" vertical="top"/>
      <protection locked="0"/>
    </xf>
    <xf numFmtId="17" fontId="36" fillId="0" borderId="22" xfId="4" quotePrefix="1" applyNumberFormat="1" applyFont="1" applyBorder="1" applyAlignment="1" applyProtection="1">
      <alignment horizontal="center" vertical="center"/>
      <protection hidden="1"/>
    </xf>
    <xf numFmtId="3" fontId="0" fillId="0" borderId="0" xfId="0" applyNumberFormat="1"/>
    <xf numFmtId="0" fontId="0" fillId="0" borderId="25" xfId="0" applyBorder="1"/>
    <xf numFmtId="0" fontId="16" fillId="0" borderId="0" xfId="0" applyFont="1" applyBorder="1" applyProtection="1">
      <protection locked="0"/>
    </xf>
    <xf numFmtId="0" fontId="16" fillId="0" borderId="0" xfId="0" applyFont="1" applyProtection="1">
      <protection locked="0"/>
    </xf>
    <xf numFmtId="0" fontId="22" fillId="33" borderId="0" xfId="0" applyNumberFormat="1" applyFont="1" applyFill="1" applyAlignment="1" applyProtection="1">
      <alignment horizontal="left" vertical="center" wrapText="1"/>
    </xf>
    <xf numFmtId="165" fontId="22" fillId="33" borderId="0" xfId="0" applyNumberFormat="1" applyFont="1" applyFill="1" applyBorder="1" applyAlignment="1" applyProtection="1">
      <alignment horizontal="right" vertical="center"/>
    </xf>
    <xf numFmtId="167" fontId="22" fillId="33" borderId="0" xfId="0" applyNumberFormat="1" applyFont="1" applyFill="1" applyBorder="1" applyAlignment="1" applyProtection="1">
      <alignment horizontal="right" vertical="center"/>
    </xf>
    <xf numFmtId="0" fontId="22" fillId="35" borderId="0" xfId="0" applyNumberFormat="1" applyFont="1" applyFill="1" applyAlignment="1" applyProtection="1">
      <alignment horizontal="left" vertical="center" wrapText="1"/>
    </xf>
    <xf numFmtId="0" fontId="22" fillId="35" borderId="0" xfId="0" applyNumberFormat="1" applyFont="1" applyFill="1" applyAlignment="1" applyProtection="1">
      <alignment horizontal="left" vertical="center"/>
    </xf>
    <xf numFmtId="14" fontId="22" fillId="35" borderId="0" xfId="0" applyNumberFormat="1" applyFont="1" applyFill="1" applyBorder="1" applyAlignment="1" applyProtection="1">
      <alignment horizontal="right" vertical="center"/>
    </xf>
    <xf numFmtId="37" fontId="22" fillId="35" borderId="0" xfId="0" applyNumberFormat="1" applyFont="1" applyFill="1" applyBorder="1" applyAlignment="1" applyProtection="1">
      <alignment horizontal="right" vertical="center"/>
    </xf>
    <xf numFmtId="7" fontId="22" fillId="35" borderId="0" xfId="1" applyNumberFormat="1" applyFont="1" applyFill="1" applyBorder="1" applyAlignment="1" applyProtection="1">
      <alignment horizontal="right" vertical="center"/>
    </xf>
    <xf numFmtId="4" fontId="22" fillId="35" borderId="0" xfId="0" applyNumberFormat="1" applyFont="1" applyFill="1" applyBorder="1" applyAlignment="1" applyProtection="1">
      <alignment horizontal="right" vertical="center"/>
    </xf>
    <xf numFmtId="10" fontId="22" fillId="35" borderId="0" xfId="0" applyNumberFormat="1" applyFont="1" applyFill="1" applyBorder="1" applyAlignment="1" applyProtection="1">
      <alignment horizontal="right" vertical="center"/>
    </xf>
    <xf numFmtId="170" fontId="22" fillId="35" borderId="0" xfId="1" applyNumberFormat="1" applyFont="1" applyFill="1" applyBorder="1" applyAlignment="1" applyProtection="1">
      <alignment horizontal="right" vertical="center"/>
    </xf>
    <xf numFmtId="167" fontId="22" fillId="35" borderId="0" xfId="0" applyNumberFormat="1" applyFont="1" applyFill="1" applyBorder="1" applyAlignment="1" applyProtection="1">
      <alignment horizontal="right" vertical="center"/>
    </xf>
    <xf numFmtId="49" fontId="22" fillId="35" borderId="0" xfId="1" applyNumberFormat="1" applyFont="1" applyFill="1" applyAlignment="1" applyProtection="1">
      <alignment horizontal="left" vertical="center" wrapText="1"/>
    </xf>
    <xf numFmtId="0" fontId="0" fillId="35" borderId="0" xfId="0" applyFill="1" applyProtection="1"/>
    <xf numFmtId="0" fontId="37" fillId="0" borderId="21" xfId="4" applyFont="1" applyBorder="1" applyAlignment="1">
      <alignment horizontal="center" vertical="center"/>
    </xf>
    <xf numFmtId="0" fontId="35" fillId="0" borderId="30" xfId="3" applyFont="1" applyBorder="1" applyAlignment="1" applyProtection="1">
      <alignment horizontal="center"/>
      <protection locked="0"/>
    </xf>
    <xf numFmtId="165" fontId="0" fillId="0" borderId="0" xfId="0" applyNumberFormat="1" applyProtection="1"/>
    <xf numFmtId="49" fontId="22" fillId="0" borderId="0" xfId="0" applyNumberFormat="1" applyFont="1" applyBorder="1" applyAlignment="1" applyProtection="1">
      <alignment horizontal="left" vertical="center" wrapText="1"/>
      <protection locked="0"/>
    </xf>
    <xf numFmtId="165" fontId="22" fillId="0" borderId="0" xfId="0" applyNumberFormat="1" applyFont="1" applyBorder="1" applyAlignment="1" applyProtection="1">
      <alignment horizontal="left" vertical="center" wrapText="1"/>
      <protection locked="0"/>
    </xf>
    <xf numFmtId="0" fontId="0" fillId="0" borderId="0" xfId="0" applyFont="1" applyBorder="1" applyProtection="1">
      <protection locked="0"/>
    </xf>
    <xf numFmtId="7" fontId="22" fillId="0" borderId="0" xfId="1" applyNumberFormat="1" applyFont="1" applyFill="1" applyAlignment="1" applyProtection="1">
      <alignment horizontal="right" vertical="center"/>
      <protection locked="0" hidden="1"/>
    </xf>
    <xf numFmtId="0" fontId="0" fillId="0" borderId="31" xfId="0" applyBorder="1" applyProtection="1">
      <protection locked="0"/>
    </xf>
    <xf numFmtId="3" fontId="39" fillId="0" borderId="32" xfId="0" applyNumberFormat="1" applyFont="1" applyBorder="1" applyAlignment="1" applyProtection="1">
      <alignment horizontal="centerContinuous" vertical="center" wrapText="1"/>
      <protection locked="0"/>
    </xf>
    <xf numFmtId="49" fontId="23" fillId="32" borderId="0" xfId="0" quotePrefix="1" applyNumberFormat="1" applyFont="1" applyFill="1" applyAlignment="1" applyProtection="1">
      <alignment vertical="center"/>
      <protection locked="0"/>
    </xf>
    <xf numFmtId="0" fontId="22" fillId="0" borderId="23" xfId="0" applyNumberFormat="1" applyFont="1" applyBorder="1" applyAlignment="1" applyProtection="1">
      <alignment horizontal="left" vertical="center"/>
      <protection locked="0"/>
    </xf>
    <xf numFmtId="0" fontId="22" fillId="0" borderId="24" xfId="0" applyNumberFormat="1" applyFont="1" applyBorder="1" applyAlignment="1" applyProtection="1">
      <alignment horizontal="left" vertical="center"/>
      <protection locked="0"/>
    </xf>
    <xf numFmtId="0" fontId="26" fillId="38" borderId="8" xfId="0" applyNumberFormat="1" applyFont="1" applyFill="1" applyBorder="1" applyAlignment="1">
      <alignment horizontal="centerContinuous" vertical="top" wrapText="1"/>
    </xf>
    <xf numFmtId="1" fontId="0" fillId="0" borderId="0" xfId="0" applyNumberFormat="1" applyAlignment="1" applyProtection="1">
      <alignment horizontal="center"/>
      <protection hidden="1"/>
    </xf>
    <xf numFmtId="167" fontId="0" fillId="0" borderId="0" xfId="0" applyNumberFormat="1"/>
    <xf numFmtId="10" fontId="0" fillId="0" borderId="0" xfId="0" applyNumberFormat="1"/>
    <xf numFmtId="0" fontId="0" fillId="0" borderId="0" xfId="0" pivotButton="1" applyProtection="1">
      <protection locked="0"/>
    </xf>
    <xf numFmtId="0" fontId="48" fillId="0" borderId="0" xfId="0" quotePrefix="1" applyFont="1"/>
    <xf numFmtId="0" fontId="43" fillId="33" borderId="0" xfId="0" applyNumberFormat="1" applyFont="1" applyFill="1" applyAlignment="1" applyProtection="1">
      <alignment horizontal="left" vertical="top"/>
      <protection locked="0"/>
    </xf>
    <xf numFmtId="0" fontId="0" fillId="0" borderId="0" xfId="0" applyNumberFormat="1" applyAlignment="1">
      <alignment horizontal="center"/>
    </xf>
    <xf numFmtId="0" fontId="0" fillId="0" borderId="0" xfId="0" quotePrefix="1" applyAlignment="1">
      <alignment horizontal="center"/>
    </xf>
    <xf numFmtId="0" fontId="16" fillId="41" borderId="0" xfId="0" applyFont="1" applyFill="1" applyBorder="1" applyAlignment="1">
      <alignment horizontal="center"/>
    </xf>
    <xf numFmtId="0" fontId="16" fillId="41" borderId="0" xfId="0" applyFont="1" applyFill="1" applyBorder="1" applyAlignment="1">
      <alignment horizontal="left"/>
    </xf>
    <xf numFmtId="0" fontId="47" fillId="0" borderId="27" xfId="0" applyFont="1" applyBorder="1" applyAlignment="1" applyProtection="1">
      <alignment horizontal="centerContinuous"/>
    </xf>
    <xf numFmtId="0" fontId="0" fillId="0" borderId="28" xfId="0" applyBorder="1" applyAlignment="1" applyProtection="1">
      <alignment horizontal="centerContinuous"/>
    </xf>
    <xf numFmtId="0" fontId="0" fillId="0" borderId="29" xfId="0" applyBorder="1" applyAlignment="1" applyProtection="1">
      <alignment horizontal="centerContinuous"/>
    </xf>
    <xf numFmtId="0" fontId="0" fillId="0" borderId="26" xfId="0" applyBorder="1" applyProtection="1"/>
    <xf numFmtId="0" fontId="0" fillId="0" borderId="25" xfId="0" applyFont="1" applyBorder="1" applyProtection="1"/>
    <xf numFmtId="14" fontId="23" fillId="40" borderId="0" xfId="0" applyNumberFormat="1" applyFont="1" applyFill="1" applyAlignment="1" applyProtection="1">
      <alignment horizontal="center" vertical="center" wrapText="1"/>
    </xf>
    <xf numFmtId="0" fontId="13" fillId="34" borderId="0" xfId="0" applyFont="1" applyFill="1" applyProtection="1">
      <protection hidden="1"/>
    </xf>
    <xf numFmtId="0" fontId="0" fillId="0" borderId="0" xfId="0" applyAlignment="1" applyProtection="1">
      <protection hidden="1"/>
    </xf>
    <xf numFmtId="0" fontId="49" fillId="0" borderId="0" xfId="0" applyFont="1"/>
    <xf numFmtId="0" fontId="0" fillId="41" borderId="0" xfId="0" applyFont="1" applyFill="1" applyBorder="1" applyAlignment="1" applyProtection="1">
      <alignment horizontal="center"/>
      <protection locked="0"/>
    </xf>
    <xf numFmtId="0" fontId="0" fillId="0" borderId="0" xfId="0" applyBorder="1" applyProtection="1">
      <protection hidden="1"/>
    </xf>
    <xf numFmtId="169" fontId="0" fillId="0" borderId="0" xfId="0" applyNumberFormat="1" applyBorder="1" applyProtection="1">
      <protection hidden="1"/>
    </xf>
    <xf numFmtId="0" fontId="16" fillId="41" borderId="0" xfId="0" applyFont="1" applyFill="1" applyBorder="1" applyAlignment="1" applyProtection="1">
      <alignment horizontal="center"/>
      <protection hidden="1"/>
    </xf>
    <xf numFmtId="0" fontId="0" fillId="0" borderId="0" xfId="0" quotePrefix="1" applyBorder="1" applyAlignment="1" applyProtection="1">
      <alignment horizontal="center"/>
      <protection locked="0"/>
    </xf>
    <xf numFmtId="169" fontId="0" fillId="0" borderId="0" xfId="0" applyNumberFormat="1" applyBorder="1" applyProtection="1">
      <protection locked="0"/>
    </xf>
    <xf numFmtId="0" fontId="22" fillId="42" borderId="0" xfId="0" applyNumberFormat="1" applyFont="1" applyFill="1" applyAlignment="1" applyProtection="1">
      <alignment horizontal="left" vertical="center"/>
      <protection locked="0"/>
    </xf>
    <xf numFmtId="0" fontId="0" fillId="0" borderId="0" xfId="0" applyAlignment="1">
      <alignment horizontal="centerContinuous"/>
    </xf>
    <xf numFmtId="0" fontId="16" fillId="0" borderId="0" xfId="0" applyFont="1"/>
    <xf numFmtId="0" fontId="16" fillId="43" borderId="0" xfId="0" applyFont="1" applyFill="1"/>
    <xf numFmtId="0" fontId="0" fillId="43" borderId="0" xfId="0" applyFill="1"/>
    <xf numFmtId="2" fontId="22" fillId="0" borderId="0" xfId="1" applyNumberFormat="1" applyFont="1" applyFill="1" applyAlignment="1" applyProtection="1">
      <alignment horizontal="right" vertical="center"/>
      <protection locked="0"/>
    </xf>
    <xf numFmtId="0" fontId="23" fillId="0" borderId="0" xfId="0" applyFont="1" applyAlignment="1" applyProtection="1">
      <alignment horizontal="center" vertical="center" wrapText="1"/>
      <protection locked="0"/>
    </xf>
    <xf numFmtId="0" fontId="23" fillId="0" borderId="0" xfId="0" applyFont="1" applyAlignment="1" applyProtection="1">
      <alignment horizontal="left" vertical="top" wrapText="1"/>
      <protection locked="0"/>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Calculation" xfId="11" builtinId="22" customBuiltin="1"/>
    <cellStyle name="Check Cell" xfId="13" builtinId="23" customBuiltin="1"/>
    <cellStyle name="Comma" xfId="44" builtinId="3"/>
    <cellStyle name="Explanatory Text" xfId="16" builtinId="53" customBuiltin="1"/>
    <cellStyle name="Followed Hyperlink" xfId="43" builtinId="9" customBuiltin="1"/>
    <cellStyle name="Good" xfId="7" builtinId="26" customBuiltin="1"/>
    <cellStyle name="Heading 1" xfId="3" xr:uid="{00000000-0005-0000-0000-000020000000}"/>
    <cellStyle name="Heading 2" xfId="4" xr:uid="{00000000-0005-0000-0000-000021000000}"/>
    <cellStyle name="Heading 3" xfId="5" builtinId="18" customBuiltin="1"/>
    <cellStyle name="Heading 4" xfId="6" builtinId="19" customBuiltin="1"/>
    <cellStyle name="Hyperlink" xfId="42" builtinId="8" customBuiltin="1"/>
    <cellStyle name="Input" xfId="9" builtinId="20" customBuiltin="1"/>
    <cellStyle name="Linked Cell" xfId="12" builtinId="24" customBuiltin="1"/>
    <cellStyle name="Neutral" xfId="8" builtinId="28" customBuiltin="1"/>
    <cellStyle name="Normal" xfId="0" builtinId="0" customBuiltin="1"/>
    <cellStyle name="Note" xfId="15" builtinId="10" customBuiltin="1"/>
    <cellStyle name="Output" xfId="10" builtinId="21" customBuiltin="1"/>
    <cellStyle name="Per cent" xfId="1" builtinId="5"/>
    <cellStyle name="Title" xfId="2" builtinId="15" customBuiltin="1"/>
    <cellStyle name="Total" xfId="17" builtinId="25" customBuiltin="1"/>
    <cellStyle name="Warning Text" xfId="14" builtinId="11" customBuiltin="1"/>
  </cellStyles>
  <dxfs count="69">
    <dxf>
      <numFmt numFmtId="169" formatCode="0.0000"/>
    </dxf>
    <dxf>
      <border outline="0">
        <left style="thin">
          <color indexed="64"/>
        </left>
        <right style="thin">
          <color indexed="64"/>
        </right>
        <bottom style="thin">
          <color indexed="64"/>
        </bottom>
      </border>
    </dxf>
    <dxf>
      <font>
        <b/>
        <i val="0"/>
        <strike val="0"/>
        <condense val="0"/>
        <extend val="0"/>
        <outline val="0"/>
        <shadow val="0"/>
        <u val="none"/>
        <vertAlign val="baseline"/>
        <sz val="11"/>
        <color theme="1"/>
        <name val="Calibri"/>
        <family val="2"/>
        <scheme val="minor"/>
      </font>
      <fill>
        <patternFill patternType="solid">
          <fgColor theme="1"/>
          <bgColor theme="0" tint="-0.14999847407452621"/>
        </patternFill>
      </fill>
      <alignment horizontal="left" vertical="bottom" textRotation="0" wrapText="0" indent="0" justifyLastLine="0" shrinkToFit="0" readingOrder="0"/>
    </dxf>
    <dxf>
      <protection locked="0"/>
    </dxf>
    <dxf>
      <protection locked="0"/>
    </dxf>
    <dxf>
      <font>
        <b val="0"/>
        <i val="0"/>
        <strike val="0"/>
        <condense val="0"/>
        <extend val="0"/>
        <outline val="0"/>
        <shadow val="0"/>
        <u val="none"/>
        <vertAlign val="baseline"/>
        <sz val="10"/>
        <color auto="1"/>
        <name val="Calibri"/>
        <scheme val="none"/>
      </font>
      <numFmt numFmtId="0" formatCode="General"/>
      <fill>
        <patternFill patternType="none">
          <fgColor indexed="64"/>
          <bgColor indexed="65"/>
        </patternFill>
      </fill>
      <alignment horizontal="right" vertical="center" textRotation="0" wrapText="0" indent="0" justifyLastLine="0" shrinkToFit="0" readingOrder="0"/>
      <protection locked="0" hidden="0"/>
    </dxf>
    <dxf>
      <font>
        <b val="0"/>
        <i val="0"/>
        <strike val="0"/>
        <condense val="0"/>
        <extend val="0"/>
        <outline val="0"/>
        <shadow val="0"/>
        <u val="none"/>
        <vertAlign val="baseline"/>
        <sz val="10"/>
        <color auto="1"/>
        <name val="Calibri"/>
        <scheme val="none"/>
      </font>
      <numFmt numFmtId="30" formatCode="@"/>
      <fill>
        <patternFill patternType="none">
          <fgColor indexed="64"/>
          <bgColor indexed="6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Calibri"/>
        <scheme val="none"/>
      </font>
      <numFmt numFmtId="167" formatCode="0_);\(0\)"/>
      <fill>
        <patternFill patternType="none">
          <fgColor indexed="64"/>
          <bgColor indexed="65"/>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Calibri"/>
        <scheme val="none"/>
      </font>
      <numFmt numFmtId="14" formatCode="0.00%"/>
      <fill>
        <patternFill patternType="none">
          <fgColor indexed="64"/>
          <bgColor indexed="65"/>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Calibri"/>
        <family val="2"/>
        <scheme val="none"/>
      </font>
      <numFmt numFmtId="11" formatCode="&quot;$&quot;#,##0.00_);\(&quot;$&quot;#,##0.00\)"/>
      <fill>
        <patternFill patternType="none">
          <fgColor indexed="64"/>
          <bgColor indexed="65"/>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Calibri"/>
        <family val="2"/>
        <scheme val="none"/>
      </font>
      <numFmt numFmtId="11" formatCode="&quot;$&quot;#,##0.00_);\(&quot;$&quot;#,##0.00\)"/>
      <fill>
        <patternFill patternType="none">
          <fgColor indexed="64"/>
          <bgColor indexed="65"/>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Calibri"/>
        <family val="2"/>
        <scheme val="none"/>
      </font>
      <numFmt numFmtId="11" formatCode="&quot;$&quot;#,##0.00_);\(&quot;$&quot;#,##0.00\)"/>
      <fill>
        <patternFill patternType="none">
          <fgColor indexed="64"/>
          <bgColor indexed="65"/>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Calibri"/>
        <scheme val="none"/>
      </font>
      <numFmt numFmtId="14" formatCode="0.00%"/>
      <fill>
        <patternFill patternType="none">
          <fgColor indexed="64"/>
          <bgColor indexed="65"/>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Calibri"/>
        <scheme val="none"/>
      </font>
      <numFmt numFmtId="14" formatCode="0.00%"/>
      <fill>
        <patternFill patternType="none">
          <fgColor indexed="64"/>
          <bgColor indexed="65"/>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Calibri"/>
        <family val="2"/>
        <scheme val="none"/>
      </font>
      <numFmt numFmtId="165" formatCode="&quot;$&quot;#,##0.00"/>
      <fill>
        <patternFill patternType="none">
          <fgColor indexed="64"/>
          <bgColor indexed="65"/>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Calibri"/>
        <scheme val="none"/>
      </font>
      <numFmt numFmtId="165" formatCode="&quot;$&quot;#,##0.00"/>
      <fill>
        <patternFill patternType="none">
          <fgColor indexed="64"/>
          <bgColor indexed="65"/>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Calibri"/>
        <scheme val="none"/>
      </font>
      <numFmt numFmtId="165" formatCode="&quot;$&quot;#,##0.00"/>
      <fill>
        <patternFill patternType="none">
          <fgColor indexed="64"/>
          <bgColor indexed="65"/>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Calibri"/>
        <scheme val="none"/>
      </font>
      <numFmt numFmtId="11" formatCode="&quot;$&quot;#,##0.00_);\(&quot;$&quot;#,##0.00\)"/>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10"/>
        <color auto="1"/>
        <name val="Calibri"/>
        <scheme val="none"/>
      </font>
      <numFmt numFmtId="11" formatCode="&quot;$&quot;#,##0.00_);\(&quot;$&quot;#,##0.00\)"/>
      <fill>
        <patternFill patternType="none">
          <fgColor indexed="64"/>
          <bgColor indexed="65"/>
        </patternFill>
      </fill>
      <alignment horizontal="right" vertical="center" textRotation="0" wrapText="0" indent="0" justifyLastLine="0" shrinkToFit="0" readingOrder="0"/>
      <protection locked="0" hidden="0"/>
    </dxf>
    <dxf>
      <font>
        <b val="0"/>
        <i val="0"/>
        <strike val="0"/>
        <condense val="0"/>
        <extend val="0"/>
        <outline val="0"/>
        <shadow val="0"/>
        <u val="none"/>
        <vertAlign val="baseline"/>
        <sz val="10"/>
        <color auto="1"/>
        <name val="Calibri"/>
        <family val="2"/>
        <scheme val="none"/>
      </font>
      <numFmt numFmtId="14" formatCode="0.00%"/>
      <fill>
        <patternFill patternType="none">
          <fgColor indexed="64"/>
          <bgColor auto="1"/>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Calibri"/>
        <family val="2"/>
        <scheme val="none"/>
      </font>
      <numFmt numFmtId="14" formatCode="0.00%"/>
      <fill>
        <patternFill patternType="none">
          <fgColor indexed="64"/>
          <bgColor auto="1"/>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Calibri"/>
        <family val="2"/>
        <scheme val="none"/>
      </font>
      <numFmt numFmtId="165" formatCode="&quot;$&quot;#,##0.00"/>
      <fill>
        <patternFill patternType="none">
          <fgColor indexed="64"/>
          <bgColor auto="1"/>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Calibri"/>
        <family val="2"/>
        <scheme val="none"/>
      </font>
      <numFmt numFmtId="165" formatCode="&quot;$&quot;#,##0.00"/>
      <fill>
        <patternFill patternType="none">
          <fgColor indexed="64"/>
          <bgColor auto="1"/>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Calibri"/>
        <scheme val="none"/>
      </font>
      <numFmt numFmtId="11" formatCode="&quot;$&quot;#,##0.00_);\(&quot;$&quot;#,##0.00\)"/>
      <fill>
        <patternFill patternType="none">
          <fgColor indexed="64"/>
          <bgColor indexed="65"/>
        </patternFill>
      </fill>
      <alignment horizontal="right" vertical="center" textRotation="0" wrapText="0" indent="0" justifyLastLine="0" shrinkToFit="0" readingOrder="0"/>
      <protection locked="0" hidden="0"/>
    </dxf>
    <dxf>
      <font>
        <b val="0"/>
        <i val="0"/>
        <strike val="0"/>
        <condense val="0"/>
        <extend val="0"/>
        <outline val="0"/>
        <shadow val="0"/>
        <u val="none"/>
        <vertAlign val="baseline"/>
        <sz val="10"/>
        <color auto="1"/>
        <name val="Calibri"/>
        <scheme val="none"/>
      </font>
      <numFmt numFmtId="167" formatCode="0_);\(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Calibri"/>
        <scheme val="none"/>
      </font>
      <numFmt numFmtId="11" formatCode="&quot;$&quot;#,##0.00_);\(&quot;$&quot;#,##0.00\)"/>
      <fill>
        <patternFill patternType="none">
          <fgColor indexed="64"/>
          <bgColor indexed="65"/>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Calibri"/>
        <scheme val="none"/>
      </font>
      <numFmt numFmtId="11" formatCode="&quot;$&quot;#,##0.00_);\(&quot;$&quot;#,##0.00\)"/>
      <fill>
        <patternFill patternType="none">
          <fgColor indexed="64"/>
          <bgColor indexed="65"/>
        </patternFill>
      </fill>
      <alignment horizontal="right" vertical="center" textRotation="0" wrapText="0" indent="0" justifyLastLine="0" shrinkToFit="0" readingOrder="0"/>
      <protection locked="0" hidden="0"/>
    </dxf>
    <dxf>
      <font>
        <b val="0"/>
        <i val="0"/>
        <strike val="0"/>
        <condense val="0"/>
        <extend val="0"/>
        <outline val="0"/>
        <shadow val="0"/>
        <u val="none"/>
        <vertAlign val="baseline"/>
        <sz val="10"/>
        <color auto="1"/>
        <name val="Calibri"/>
        <scheme val="none"/>
      </font>
      <numFmt numFmtId="174" formatCode="d/mm/yy"/>
      <fill>
        <patternFill patternType="none">
          <fgColor indexed="64"/>
          <bgColor indexed="65"/>
        </patternFill>
      </fill>
      <alignment horizontal="right" vertical="center" textRotation="0" wrapText="0" indent="0" justifyLastLine="0" shrinkToFit="0" readingOrder="0"/>
      <protection locked="0" hidden="0"/>
    </dxf>
    <dxf>
      <font>
        <b val="0"/>
        <i val="0"/>
        <strike val="0"/>
        <condense val="0"/>
        <extend val="0"/>
        <outline val="0"/>
        <shadow val="0"/>
        <u val="none"/>
        <vertAlign val="baseline"/>
        <sz val="10"/>
        <color auto="1"/>
        <name val="Calibri"/>
        <family val="2"/>
        <scheme val="none"/>
      </font>
      <numFmt numFmtId="14" formatCode="0.00%"/>
      <fill>
        <patternFill patternType="none">
          <fgColor indexed="64"/>
          <bgColor indexed="65"/>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Calibri"/>
        <scheme val="none"/>
      </font>
      <numFmt numFmtId="14" formatCode="0.00%"/>
      <fill>
        <patternFill patternType="none">
          <fgColor indexed="64"/>
          <bgColor indexed="65"/>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Calibri"/>
        <scheme val="none"/>
      </font>
      <numFmt numFmtId="14" formatCode="0.00%"/>
      <fill>
        <patternFill patternType="none">
          <fgColor indexed="64"/>
          <bgColor indexed="65"/>
        </patternFill>
      </fill>
      <alignment horizontal="right" vertical="center" textRotation="0" wrapText="0" indent="0" justifyLastLine="0" shrinkToFit="0" readingOrder="0"/>
      <protection locked="0" hidden="0"/>
    </dxf>
    <dxf>
      <font>
        <b val="0"/>
        <i val="0"/>
        <strike val="0"/>
        <condense val="0"/>
        <extend val="0"/>
        <outline val="0"/>
        <shadow val="0"/>
        <u val="none"/>
        <vertAlign val="baseline"/>
        <sz val="10"/>
        <color auto="1"/>
        <name val="Calibri"/>
        <scheme val="none"/>
      </font>
      <numFmt numFmtId="11" formatCode="&quot;$&quot;#,##0.00_);\(&quot;$&quot;#,##0.00\)"/>
      <fill>
        <patternFill patternType="none">
          <fgColor indexed="64"/>
          <bgColor indexed="65"/>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Calibri"/>
        <scheme val="none"/>
      </font>
      <numFmt numFmtId="1" formatCode="0"/>
      <fill>
        <patternFill patternType="none">
          <fgColor indexed="64"/>
          <bgColor indexed="65"/>
        </patternFill>
      </fill>
      <alignment horizontal="right" vertical="center" textRotation="0" wrapText="0" indent="0" justifyLastLine="0" shrinkToFit="0" readingOrder="0"/>
      <protection locked="0" hidden="0"/>
    </dxf>
    <dxf>
      <font>
        <b val="0"/>
        <i val="0"/>
        <strike val="0"/>
        <condense val="0"/>
        <extend val="0"/>
        <outline val="0"/>
        <shadow val="0"/>
        <u val="none"/>
        <vertAlign val="baseline"/>
        <sz val="10"/>
        <color auto="1"/>
        <name val="Calibri"/>
        <scheme val="none"/>
      </font>
      <numFmt numFmtId="11" formatCode="&quot;$&quot;#,##0.00_);\(&quot;$&quot;#,##0.00\)"/>
      <fill>
        <patternFill patternType="none">
          <fgColor indexed="64"/>
          <bgColor indexed="65"/>
        </patternFill>
      </fill>
      <alignment horizontal="right" vertical="center" textRotation="0" wrapText="0" indent="0" justifyLastLine="0" shrinkToFit="0" readingOrder="0"/>
      <protection locked="0" hidden="0"/>
    </dxf>
    <dxf>
      <font>
        <b val="0"/>
        <i val="0"/>
        <strike val="0"/>
        <condense val="0"/>
        <extend val="0"/>
        <outline val="0"/>
        <shadow val="0"/>
        <u val="none"/>
        <vertAlign val="baseline"/>
        <sz val="10"/>
        <color auto="1"/>
        <name val="Calibri"/>
        <scheme val="none"/>
      </font>
      <numFmt numFmtId="175" formatCode="dd/mm/yy"/>
      <fill>
        <patternFill patternType="none">
          <fgColor indexed="64"/>
          <bgColor indexed="65"/>
        </patternFill>
      </fill>
      <alignment horizontal="right" vertical="center" textRotation="0" wrapText="0" indent="0" justifyLastLine="0" shrinkToFit="0" readingOrder="0"/>
      <protection locked="0" hidden="0"/>
    </dxf>
    <dxf>
      <font>
        <b val="0"/>
        <i val="0"/>
        <strike val="0"/>
        <condense val="0"/>
        <extend val="0"/>
        <outline val="0"/>
        <shadow val="0"/>
        <u val="none"/>
        <vertAlign val="baseline"/>
        <sz val="10"/>
        <color auto="1"/>
        <name val="Calibri"/>
        <family val="2"/>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Calibri"/>
        <scheme val="none"/>
      </font>
      <numFmt numFmtId="0" formatCode="General"/>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0"/>
        <color auto="1"/>
        <name val="Calibri"/>
        <scheme val="none"/>
      </font>
      <numFmt numFmtId="0" formatCode="General"/>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0"/>
        <color auto="1"/>
        <name val="Calibri"/>
        <scheme val="none"/>
      </font>
      <numFmt numFmtId="0" formatCode="General"/>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0"/>
        <color auto="1"/>
        <name val="Calibri"/>
        <family val="2"/>
        <scheme val="none"/>
      </font>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Calibri"/>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Calibri"/>
        <scheme val="none"/>
      </font>
      <numFmt numFmtId="0" formatCode="General"/>
      <fill>
        <patternFill patternType="none">
          <fgColor indexed="64"/>
          <bgColor indexed="6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Calibri"/>
        <scheme val="none"/>
      </font>
      <numFmt numFmtId="0" formatCode="General"/>
      <fill>
        <patternFill patternType="none">
          <fgColor indexed="64"/>
          <bgColor indexed="65"/>
        </patternFill>
      </fill>
      <alignment horizontal="right" vertical="center" textRotation="0" wrapText="0" indent="0" justifyLastLine="0" shrinkToFit="0" readingOrder="0"/>
      <protection locked="0" hidden="0"/>
    </dxf>
    <dxf>
      <font>
        <b/>
        <i val="0"/>
        <strike val="0"/>
        <condense val="0"/>
        <extend val="0"/>
        <outline val="0"/>
        <shadow val="0"/>
        <u val="none"/>
        <vertAlign val="baseline"/>
        <sz val="10"/>
        <color theme="0"/>
        <name val="Calibri"/>
        <scheme val="none"/>
      </font>
      <numFmt numFmtId="0" formatCode="General"/>
      <fill>
        <patternFill patternType="solid">
          <fgColor indexed="64"/>
          <bgColor rgb="FF2D9F7C"/>
        </patternFill>
      </fill>
      <alignment horizontal="center" vertical="top" textRotation="0" wrapText="1" indent="0" justifyLastLine="0" shrinkToFit="0" readingOrder="0"/>
      <protection locked="0" hidden="0"/>
    </dxf>
    <dxf>
      <fill>
        <patternFill>
          <bgColor theme="0" tint="-0.24994659260841701"/>
        </patternFill>
      </fill>
    </dxf>
    <dxf>
      <fill>
        <patternFill>
          <bgColor theme="0" tint="-4.9989318521683403E-2"/>
        </patternFill>
      </fill>
    </dxf>
    <dxf>
      <font>
        <color theme="6" tint="-0.249977111117893"/>
      </font>
      <border>
        <top/>
        <bottom style="thin">
          <color theme="4" tint="0.59996337778862885"/>
        </bottom>
      </border>
    </dxf>
    <dxf>
      <fill>
        <patternFill patternType="solid">
          <fgColor theme="0" tint="-0.14999847407452621"/>
          <bgColor theme="0" tint="-0.14999847407452621"/>
        </patternFill>
      </fill>
      <border>
        <bottom style="thin">
          <color theme="0" tint="-0.34998626667073579"/>
        </bottom>
      </border>
    </dxf>
    <dxf>
      <fill>
        <patternFill patternType="solid">
          <fgColor theme="0" tint="-0.14996795556505021"/>
          <bgColor rgb="FF147862"/>
        </patternFill>
      </fill>
      <border>
        <bottom style="thin">
          <color theme="0" tint="-0.34998626667073579"/>
        </bottom>
      </border>
    </dxf>
    <dxf>
      <font>
        <b/>
        <color theme="1"/>
      </font>
    </dxf>
    <dxf>
      <font>
        <b/>
        <color theme="1"/>
      </font>
      <border>
        <bottom style="thin">
          <color theme="0" tint="-0.34998626667073579"/>
        </bottom>
      </border>
    </dxf>
    <dxf>
      <font>
        <b/>
        <color theme="1"/>
      </font>
    </dxf>
    <dxf>
      <font>
        <b/>
        <color theme="1"/>
      </font>
      <border>
        <top style="thin">
          <color theme="1" tint="0.499984740745262"/>
        </top>
        <bottom style="thin">
          <color theme="1" tint="0.499984740745262"/>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style="thin">
          <color theme="0" tint="-0.249977111117893"/>
        </left>
        <right style="thin">
          <color theme="0" tint="-0.249977111117893"/>
        </right>
      </border>
    </dxf>
    <dxf>
      <fill>
        <patternFill patternType="solid">
          <fgColor theme="0" tint="-0.14999847407452621"/>
          <bgColor theme="0" tint="-0.14999847407452621"/>
        </patternFill>
      </fill>
    </dxf>
    <dxf>
      <font>
        <b/>
        <color theme="1"/>
      </font>
      <fill>
        <patternFill patternType="solid">
          <fgColor theme="0" tint="-0.14999847407452621"/>
          <bgColor theme="0" tint="-0.14999847407452621"/>
        </patternFill>
      </fill>
      <border>
        <top style="thin">
          <color theme="0" tint="-0.34998626667073579"/>
        </top>
      </border>
    </dxf>
    <dxf>
      <font>
        <b/>
        <color theme="1"/>
      </font>
      <fill>
        <patternFill patternType="solid">
          <fgColor theme="0" tint="-0.14999847407452621"/>
          <bgColor theme="0" tint="-0.14999847407452621"/>
        </patternFill>
      </fill>
      <border>
        <bottom style="thin">
          <color theme="0" tint="-0.34998626667073579"/>
        </bottom>
      </border>
    </dxf>
    <dxf>
      <font>
        <color theme="0"/>
      </font>
      <fill>
        <patternFill patternType="solid">
          <fgColor theme="5" tint="-0.499984740745262"/>
          <bgColor theme="5" tint="-0.499984740745262"/>
        </patternFill>
      </fill>
      <border>
        <horizontal style="thin">
          <color theme="5" tint="-0.499984740745262"/>
        </horizontal>
      </border>
    </dxf>
    <dxf>
      <font>
        <b/>
        <color theme="0"/>
      </font>
      <fill>
        <patternFill patternType="solid">
          <fgColor theme="5" tint="-0.499984740745262"/>
          <bgColor theme="5" tint="-0.499984740745262"/>
        </patternFill>
      </fill>
      <border>
        <horizontal style="thin">
          <color theme="5" tint="-0.499984740745262"/>
        </horizontal>
      </border>
    </dxf>
    <dxf>
      <font>
        <b/>
        <color theme="1"/>
      </font>
    </dxf>
    <dxf>
      <font>
        <b/>
        <color theme="1"/>
      </font>
      <fill>
        <patternFill patternType="solid">
          <fgColor theme="5" tint="0.79998168889431442"/>
          <bgColor theme="5" tint="0.79998168889431442"/>
        </patternFill>
      </fill>
      <border>
        <top style="thin">
          <color theme="5" tint="0.39997558519241921"/>
        </top>
        <bottom style="thin">
          <color theme="5" tint="0.39997558519241921"/>
        </bottom>
      </border>
    </dxf>
    <dxf>
      <font>
        <b/>
        <color theme="1"/>
      </font>
      <border>
        <bottom style="thin">
          <color theme="5" tint="0.79998168889431442"/>
        </bottom>
      </border>
    </dxf>
    <dxf>
      <border>
        <left style="thin">
          <color theme="5" tint="0.79998168889431442"/>
        </left>
        <right style="thin">
          <color theme="5" tint="0.79998168889431442"/>
        </right>
      </border>
    </dxf>
    <dxf>
      <fill>
        <patternFill patternType="none">
          <bgColor auto="1"/>
        </patternFill>
      </fill>
    </dxf>
    <dxf>
      <fill>
        <patternFill patternType="solid">
          <fgColor theme="5" tint="0.39997558519241921"/>
          <bgColor theme="5" tint="0.39997558519241921"/>
        </patternFill>
      </fill>
    </dxf>
    <dxf>
      <font>
        <b/>
        <color theme="0"/>
      </font>
      <fill>
        <patternFill patternType="solid">
          <fgColor theme="5" tint="-0.499984740745262"/>
          <bgColor theme="5" tint="-0.499984740745262"/>
        </patternFill>
      </fill>
    </dxf>
    <dxf>
      <font>
        <b/>
        <color theme="0"/>
      </font>
      <fill>
        <patternFill patternType="solid">
          <fgColor theme="5" tint="-0.499984740745262"/>
          <bgColor theme="5" tint="-0.499984740745262"/>
        </patternFill>
      </fill>
      <border>
        <bottom style="thin">
          <color theme="5"/>
        </bottom>
        <horizontal style="thin">
          <color theme="5" tint="-0.499984740745262"/>
        </horizontal>
      </border>
    </dxf>
    <dxf>
      <font>
        <color theme="1"/>
      </font>
      <fill>
        <patternFill patternType="solid">
          <fgColor theme="5" tint="0.59999389629810485"/>
          <bgColor theme="5" tint="0.59999389629810485"/>
        </patternFill>
      </fill>
      <border>
        <horizontal style="thin">
          <color theme="5" tint="0.79998168889431442"/>
        </horizontal>
      </border>
    </dxf>
  </dxfs>
  <tableStyles count="3" defaultTableStyle="TableStyleMedium2" defaultPivotStyle="PivotStyleLight16">
    <tableStyle name="PivotStyleDark3 2" table="0" count="11" xr9:uid="{8BA5B606-7C0B-463F-8410-E43A40DD48B6}">
      <tableStyleElement type="wholeTable" dxfId="68"/>
      <tableStyleElement type="headerRow" dxfId="67"/>
      <tableStyleElement type="totalRow" dxfId="66"/>
      <tableStyleElement type="secondRowStripe" dxfId="65"/>
      <tableStyleElement type="firstColumnStripe" dxfId="64"/>
      <tableStyleElement type="secondColumnStripe" dxfId="63"/>
      <tableStyleElement type="firstSubtotalRow" dxfId="62"/>
      <tableStyleElement type="firstRowSubheading" dxfId="61"/>
      <tableStyleElement type="secondRowSubheading" dxfId="60"/>
      <tableStyleElement type="pageFieldLabels" dxfId="59"/>
      <tableStyleElement type="pageFieldValues" dxfId="58"/>
    </tableStyle>
    <tableStyle name="TFT Design" table="0" count="11" xr9:uid="{92DEBAB9-3C8F-449B-A759-2A1F5FEB9708}">
      <tableStyleElement type="headerRow" dxfId="57"/>
      <tableStyleElement type="totalRow" dxfId="56"/>
      <tableStyleElement type="firstRowStripe" dxfId="55"/>
      <tableStyleElement type="firstColumnStripe" dxfId="54"/>
      <tableStyleElement type="firstSubtotalColumn" dxfId="53"/>
      <tableStyleElement type="firstSubtotalRow" dxfId="52"/>
      <tableStyleElement type="secondSubtotalRow" dxfId="51"/>
      <tableStyleElement type="firstRowSubheading" dxfId="50"/>
      <tableStyleElement type="secondRowSubheading" dxfId="49"/>
      <tableStyleElement type="pageFieldLabels" dxfId="48"/>
      <tableStyleElement type="pageFieldValues" dxfId="47"/>
    </tableStyle>
    <tableStyle name="Trading Diary" pivot="0" count="2" xr9:uid="{00000000-0011-0000-FFFF-FFFF00000000}">
      <tableStyleElement type="wholeTable" dxfId="46"/>
      <tableStyleElement type="secondRowStripe" dxfId="45"/>
    </tableStyle>
  </tableStyles>
  <colors>
    <mruColors>
      <color rgb="FF147862"/>
      <color rgb="FF1C9F80"/>
      <color rgb="FF2D9F7C"/>
      <color rgb="FF23C7A0"/>
      <color rgb="FF18AEB5"/>
      <color rgb="FFD8F8F0"/>
      <color rgb="FFE1FAFB"/>
      <color rgb="FFCEF6EC"/>
      <color rgb="FFFBFFFF"/>
      <color rgb="FFF5FDF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18" Type="http://schemas.microsoft.com/office/2017/06/relationships/rdSupportingPropertyBagStructure" Target="richData/rdsupportingpropertybagstructure.xml"/><Relationship Id="rId3" Type="http://schemas.openxmlformats.org/officeDocument/2006/relationships/worksheet" Target="worksheets/sheet3.xml"/><Relationship Id="rId21" Type="http://schemas.openxmlformats.org/officeDocument/2006/relationships/powerPivotData" Target="model/item.data"/><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17/06/relationships/richStyles" Target="richData/richStyles.xml"/><Relationship Id="rId25" Type="http://schemas.microsoft.com/office/2006/relationships/vbaProject" Target="vbaProject.bin"/><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24" Type="http://schemas.openxmlformats.org/officeDocument/2006/relationships/customXml" Target="../customXml/item1.xml"/><Relationship Id="rId5" Type="http://schemas.openxmlformats.org/officeDocument/2006/relationships/worksheet" Target="worksheets/sheet5.xml"/><Relationship Id="rId15" Type="http://schemas.microsoft.com/office/2017/06/relationships/rdRichValue" Target="richData/rdrichvalue.xml"/><Relationship Id="rId23" Type="http://schemas.openxmlformats.org/officeDocument/2006/relationships/calcChain" Target="calcChain.xml"/><Relationship Id="rId10" Type="http://schemas.openxmlformats.org/officeDocument/2006/relationships/theme" Target="theme/theme1.xml"/><Relationship Id="rId19"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sheetMetadata" Target="metadata.xml"/><Relationship Id="rId22"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7.jpg"/></Relationships>
</file>

<file path=xl/drawings/_rels/drawing3.xml.rels><?xml version="1.0" encoding="UTF-8" standalone="yes"?>
<Relationships xmlns="http://schemas.openxmlformats.org/package/2006/relationships"><Relationship Id="rId1" Type="http://schemas.openxmlformats.org/officeDocument/2006/relationships/image" Target="../media/image7.jpg"/></Relationships>
</file>

<file path=xl/drawings/_rels/drawing4.xml.rels><?xml version="1.0" encoding="UTF-8" standalone="yes"?>
<Relationships xmlns="http://schemas.openxmlformats.org/package/2006/relationships"><Relationship Id="rId1" Type="http://schemas.openxmlformats.org/officeDocument/2006/relationships/image" Target="../media/image7.jpg"/></Relationships>
</file>

<file path=xl/drawings/_rels/drawing6.xml.rels><?xml version="1.0" encoding="UTF-8" standalone="yes"?>
<Relationships xmlns="http://schemas.openxmlformats.org/package/2006/relationships"><Relationship Id="rId1" Type="http://schemas.openxmlformats.org/officeDocument/2006/relationships/image" Target="../media/image7.jpg"/></Relationships>
</file>

<file path=xl/drawings/drawing1.xml><?xml version="1.0" encoding="utf-8"?>
<xdr:wsDr xmlns:xdr="http://schemas.openxmlformats.org/drawingml/2006/spreadsheetDrawing" xmlns:a="http://schemas.openxmlformats.org/drawingml/2006/main">
  <xdr:twoCellAnchor editAs="oneCell">
    <xdr:from>
      <xdr:col>2</xdr:col>
      <xdr:colOff>142876</xdr:colOff>
      <xdr:row>20</xdr:row>
      <xdr:rowOff>152401</xdr:rowOff>
    </xdr:from>
    <xdr:to>
      <xdr:col>4</xdr:col>
      <xdr:colOff>2263776</xdr:colOff>
      <xdr:row>25</xdr:row>
      <xdr:rowOff>73833</xdr:rowOff>
    </xdr:to>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1"/>
        <a:stretch>
          <a:fillRect/>
        </a:stretch>
      </xdr:blipFill>
      <xdr:spPr>
        <a:xfrm>
          <a:off x="1019176" y="4076701"/>
          <a:ext cx="6267450" cy="865994"/>
        </a:xfrm>
        <a:prstGeom prst="rect">
          <a:avLst/>
        </a:prstGeom>
      </xdr:spPr>
    </xdr:pic>
    <xdr:clientData/>
  </xdr:twoCellAnchor>
  <xdr:twoCellAnchor editAs="oneCell">
    <xdr:from>
      <xdr:col>4</xdr:col>
      <xdr:colOff>2238375</xdr:colOff>
      <xdr:row>16</xdr:row>
      <xdr:rowOff>171450</xdr:rowOff>
    </xdr:from>
    <xdr:to>
      <xdr:col>4</xdr:col>
      <xdr:colOff>3048113</xdr:colOff>
      <xdr:row>18</xdr:row>
      <xdr:rowOff>34958</xdr:rowOff>
    </xdr:to>
    <xdr:pic>
      <xdr:nvPicPr>
        <xdr:cNvPr id="40" name="Picture 39">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2"/>
        <a:stretch>
          <a:fillRect/>
        </a:stretch>
      </xdr:blipFill>
      <xdr:spPr>
        <a:xfrm>
          <a:off x="7267575" y="3143250"/>
          <a:ext cx="809738" cy="238158"/>
        </a:xfrm>
        <a:prstGeom prst="rect">
          <a:avLst/>
        </a:prstGeom>
      </xdr:spPr>
    </xdr:pic>
    <xdr:clientData/>
  </xdr:twoCellAnchor>
  <xdr:twoCellAnchor editAs="oneCell">
    <xdr:from>
      <xdr:col>4</xdr:col>
      <xdr:colOff>409575</xdr:colOff>
      <xdr:row>15</xdr:row>
      <xdr:rowOff>28575</xdr:rowOff>
    </xdr:from>
    <xdr:to>
      <xdr:col>4</xdr:col>
      <xdr:colOff>1181208</xdr:colOff>
      <xdr:row>16</xdr:row>
      <xdr:rowOff>57183</xdr:rowOff>
    </xdr:to>
    <xdr:pic>
      <xdr:nvPicPr>
        <xdr:cNvPr id="41" name="Picture 40">
          <a:extLst>
            <a:ext uri="{FF2B5EF4-FFF2-40B4-BE49-F238E27FC236}">
              <a16:creationId xmlns:a16="http://schemas.microsoft.com/office/drawing/2014/main" id="{00000000-0008-0000-0000-000029000000}"/>
            </a:ext>
          </a:extLst>
        </xdr:cNvPr>
        <xdr:cNvPicPr>
          <a:picLocks noChangeAspect="1"/>
        </xdr:cNvPicPr>
      </xdr:nvPicPr>
      <xdr:blipFill>
        <a:blip xmlns:r="http://schemas.openxmlformats.org/officeDocument/2006/relationships" r:embed="rId3"/>
        <a:stretch>
          <a:fillRect/>
        </a:stretch>
      </xdr:blipFill>
      <xdr:spPr>
        <a:xfrm>
          <a:off x="5438775" y="2790825"/>
          <a:ext cx="771633" cy="238158"/>
        </a:xfrm>
        <a:prstGeom prst="rect">
          <a:avLst/>
        </a:prstGeom>
      </xdr:spPr>
    </xdr:pic>
    <xdr:clientData/>
  </xdr:twoCellAnchor>
  <xdr:twoCellAnchor editAs="oneCell">
    <xdr:from>
      <xdr:col>2</xdr:col>
      <xdr:colOff>66675</xdr:colOff>
      <xdr:row>5</xdr:row>
      <xdr:rowOff>95251</xdr:rowOff>
    </xdr:from>
    <xdr:to>
      <xdr:col>4</xdr:col>
      <xdr:colOff>4225925</xdr:colOff>
      <xdr:row>5</xdr:row>
      <xdr:rowOff>457201</xdr:rowOff>
    </xdr:to>
    <xdr:pic>
      <xdr:nvPicPr>
        <xdr:cNvPr id="42" name="Picture 41">
          <a:extLst>
            <a:ext uri="{FF2B5EF4-FFF2-40B4-BE49-F238E27FC236}">
              <a16:creationId xmlns:a16="http://schemas.microsoft.com/office/drawing/2014/main" id="{00000000-0008-0000-0000-00002A000000}"/>
            </a:ext>
          </a:extLst>
        </xdr:cNvPr>
        <xdr:cNvPicPr>
          <a:picLocks noChangeAspect="1"/>
        </xdr:cNvPicPr>
      </xdr:nvPicPr>
      <xdr:blipFill rotWithShape="1">
        <a:blip xmlns:r="http://schemas.openxmlformats.org/officeDocument/2006/relationships" r:embed="rId4"/>
        <a:srcRect l="697" t="25098" r="12549" b="59520"/>
        <a:stretch/>
      </xdr:blipFill>
      <xdr:spPr>
        <a:xfrm>
          <a:off x="942975" y="476251"/>
          <a:ext cx="8305800" cy="361950"/>
        </a:xfrm>
        <a:prstGeom prst="rect">
          <a:avLst/>
        </a:prstGeom>
      </xdr:spPr>
    </xdr:pic>
    <xdr:clientData/>
  </xdr:twoCellAnchor>
  <xdr:twoCellAnchor editAs="oneCell">
    <xdr:from>
      <xdr:col>2</xdr:col>
      <xdr:colOff>76199</xdr:colOff>
      <xdr:row>8</xdr:row>
      <xdr:rowOff>85724</xdr:rowOff>
    </xdr:from>
    <xdr:to>
      <xdr:col>4</xdr:col>
      <xdr:colOff>2968854</xdr:colOff>
      <xdr:row>8</xdr:row>
      <xdr:rowOff>380999</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rId5"/>
        <a:srcRect l="831" t="14525" r="88" b="12681"/>
        <a:stretch/>
      </xdr:blipFill>
      <xdr:spPr bwMode="auto">
        <a:xfrm>
          <a:off x="952499" y="1419224"/>
          <a:ext cx="7043967" cy="295275"/>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1</xdr:col>
      <xdr:colOff>2</xdr:colOff>
      <xdr:row>79</xdr:row>
      <xdr:rowOff>100014</xdr:rowOff>
    </xdr:from>
    <xdr:to>
      <xdr:col>3</xdr:col>
      <xdr:colOff>114301</xdr:colOff>
      <xdr:row>97</xdr:row>
      <xdr:rowOff>39214</xdr:rowOff>
    </xdr:to>
    <xdr:pic>
      <xdr:nvPicPr>
        <xdr:cNvPr id="3" name="Picture 2">
          <a:extLst>
            <a:ext uri="{FF2B5EF4-FFF2-40B4-BE49-F238E27FC236}">
              <a16:creationId xmlns:a16="http://schemas.microsoft.com/office/drawing/2014/main" id="{25A865B7-D4E8-3DC9-017E-5BD3F497CEFE}"/>
            </a:ext>
          </a:extLst>
        </xdr:cNvPr>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t="916" r="1661" b="1947"/>
        <a:stretch>
          <a:fillRect/>
        </a:stretch>
      </xdr:blipFill>
      <xdr:spPr bwMode="auto">
        <a:xfrm>
          <a:off x="285752" y="15254289"/>
          <a:ext cx="2676524" cy="319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14</xdr:col>
      <xdr:colOff>220986</xdr:colOff>
      <xdr:row>0</xdr:row>
      <xdr:rowOff>132292</xdr:rowOff>
    </xdr:from>
    <xdr:to>
      <xdr:col>18</xdr:col>
      <xdr:colOff>244631</xdr:colOff>
      <xdr:row>1</xdr:row>
      <xdr:rowOff>225425</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968236" y="132292"/>
          <a:ext cx="2204868" cy="283633"/>
        </a:xfrm>
        <a:prstGeom prst="rect">
          <a:avLst/>
        </a:prstGeom>
      </xdr:spPr>
    </xdr:pic>
    <xdr:clientData/>
  </xdr:twoCellAnchor>
  <xdr:twoCellAnchor editAs="absolute">
    <xdr:from>
      <xdr:col>5</xdr:col>
      <xdr:colOff>778873</xdr:colOff>
      <xdr:row>0</xdr:row>
      <xdr:rowOff>150123</xdr:rowOff>
    </xdr:from>
    <xdr:to>
      <xdr:col>8</xdr:col>
      <xdr:colOff>158841</xdr:colOff>
      <xdr:row>1</xdr:row>
      <xdr:rowOff>304800</xdr:rowOff>
    </xdr:to>
    <xdr:grpSp>
      <xdr:nvGrpSpPr>
        <xdr:cNvPr id="3" name="Group 2">
          <a:extLst>
            <a:ext uri="{FF2B5EF4-FFF2-40B4-BE49-F238E27FC236}">
              <a16:creationId xmlns:a16="http://schemas.microsoft.com/office/drawing/2014/main" id="{00000000-0008-0000-0100-000003000000}"/>
            </a:ext>
          </a:extLst>
        </xdr:cNvPr>
        <xdr:cNvGrpSpPr/>
      </xdr:nvGrpSpPr>
      <xdr:grpSpPr>
        <a:xfrm>
          <a:off x="5130740" y="150123"/>
          <a:ext cx="2013101" cy="349410"/>
          <a:chOff x="5598125" y="289823"/>
          <a:chExt cx="1691206" cy="356874"/>
        </a:xfrm>
      </xdr:grpSpPr>
      <xdr:sp macro="" textlink="">
        <xdr:nvSpPr>
          <xdr:cNvPr id="11" name="Rounded Rectangle 10">
            <a:extLst>
              <a:ext uri="{FF2B5EF4-FFF2-40B4-BE49-F238E27FC236}">
                <a16:creationId xmlns:a16="http://schemas.microsoft.com/office/drawing/2014/main" id="{00000000-0008-0000-0100-00000B000000}"/>
              </a:ext>
            </a:extLst>
          </xdr:cNvPr>
          <xdr:cNvSpPr/>
        </xdr:nvSpPr>
        <xdr:spPr>
          <a:xfrm>
            <a:off x="5598125" y="432955"/>
            <a:ext cx="1691206" cy="213742"/>
          </a:xfrm>
          <a:prstGeom prst="roundRect">
            <a:avLst/>
          </a:prstGeom>
          <a:solidFill>
            <a:schemeClr val="bg1">
              <a:lumMod val="95000"/>
            </a:schemeClr>
          </a:solidFill>
          <a:ln w="3175">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ctr"/>
            <a:endParaRPr lang="en-AU" sz="800" b="0">
              <a:solidFill>
                <a:sysClr val="windowText" lastClr="000000"/>
              </a:solidFill>
            </a:endParaRPr>
          </a:p>
        </xdr:txBody>
      </xdr:sp>
      <mc:AlternateContent xmlns:mc="http://schemas.openxmlformats.org/markup-compatibility/2006">
        <mc:Choice xmlns:a14="http://schemas.microsoft.com/office/drawing/2010/main" Requires="a14">
          <xdr:sp macro="" textlink="">
            <xdr:nvSpPr>
              <xdr:cNvPr id="18445" name="Button 13" hidden="1">
                <a:extLst>
                  <a:ext uri="{63B3BB69-23CF-44E3-9099-C40C66FF867C}">
                    <a14:compatExt spid="_x0000_s18445"/>
                  </a:ext>
                  <a:ext uri="{FF2B5EF4-FFF2-40B4-BE49-F238E27FC236}">
                    <a16:creationId xmlns:a16="http://schemas.microsoft.com/office/drawing/2014/main" id="{00000000-0008-0000-0100-00000D480000}"/>
                  </a:ext>
                </a:extLst>
              </xdr:cNvPr>
              <xdr:cNvSpPr/>
            </xdr:nvSpPr>
            <xdr:spPr bwMode="auto">
              <a:xfrm>
                <a:off x="5621374" y="457200"/>
                <a:ext cx="401095" cy="161925"/>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900" b="0" i="0" u="none" strike="noStrike" baseline="0">
                    <a:solidFill>
                      <a:srgbClr val="000000"/>
                    </a:solidFill>
                    <a:latin typeface="Calibri" pitchFamily="2" charset="0"/>
                    <a:cs typeface="Calibri" pitchFamily="2" charset="0"/>
                  </a:rPr>
                  <a:t>Today Buys</a:t>
                </a:r>
              </a:p>
            </xdr:txBody>
          </xdr:sp>
        </mc:Choice>
        <mc:Fallback/>
      </mc:AlternateContent>
      <mc:AlternateContent xmlns:mc="http://schemas.openxmlformats.org/markup-compatibility/2006">
        <mc:Choice xmlns:a14="http://schemas.microsoft.com/office/drawing/2010/main" Requires="a14">
          <xdr:sp macro="" textlink="">
            <xdr:nvSpPr>
              <xdr:cNvPr id="18446" name="Button 14" descr="This Month" hidden="1">
                <a:extLst>
                  <a:ext uri="{63B3BB69-23CF-44E3-9099-C40C66FF867C}">
                    <a14:compatExt spid="_x0000_s18446"/>
                  </a:ext>
                  <a:ext uri="{FF2B5EF4-FFF2-40B4-BE49-F238E27FC236}">
                    <a16:creationId xmlns:a16="http://schemas.microsoft.com/office/drawing/2014/main" id="{00000000-0008-0000-0100-00000E480000}"/>
                  </a:ext>
                </a:extLst>
              </xdr:cNvPr>
              <xdr:cNvSpPr/>
            </xdr:nvSpPr>
            <xdr:spPr bwMode="auto">
              <a:xfrm>
                <a:off x="6031994" y="457200"/>
                <a:ext cx="607547" cy="161925"/>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900" b="0" i="0" u="none" strike="noStrike" baseline="0">
                    <a:solidFill>
                      <a:srgbClr val="000000"/>
                    </a:solidFill>
                    <a:latin typeface="Calibri" pitchFamily="2" charset="0"/>
                    <a:cs typeface="Calibri" pitchFamily="2" charset="0"/>
                  </a:rPr>
                  <a:t>This Month</a:t>
                </a:r>
              </a:p>
              <a:p>
                <a:pPr algn="ctr" rtl="0">
                  <a:defRPr sz="1000"/>
                </a:pPr>
                <a:r>
                  <a:rPr lang="en-GB" sz="900" b="0" i="0" u="none" strike="noStrike" baseline="0">
                    <a:solidFill>
                      <a:srgbClr val="000000"/>
                    </a:solidFill>
                    <a:latin typeface="Calibri" pitchFamily="2" charset="0"/>
                    <a:cs typeface="Calibri" pitchFamily="2" charset="0"/>
                  </a:rPr>
                  <a:t>ton 28</a:t>
                </a:r>
              </a:p>
            </xdr:txBody>
          </xdr:sp>
        </mc:Choice>
        <mc:Fallback/>
      </mc:AlternateContent>
      <mc:AlternateContent xmlns:mc="http://schemas.openxmlformats.org/markup-compatibility/2006">
        <mc:Choice xmlns:a14="http://schemas.microsoft.com/office/drawing/2010/main" Requires="a14">
          <xdr:sp macro="" textlink="">
            <xdr:nvSpPr>
              <xdr:cNvPr id="18447" name="Button 15" descr="Last Month" hidden="1">
                <a:extLst>
                  <a:ext uri="{63B3BB69-23CF-44E3-9099-C40C66FF867C}">
                    <a14:compatExt spid="_x0000_s18447"/>
                  </a:ext>
                  <a:ext uri="{FF2B5EF4-FFF2-40B4-BE49-F238E27FC236}">
                    <a16:creationId xmlns:a16="http://schemas.microsoft.com/office/drawing/2014/main" id="{00000000-0008-0000-0100-00000F480000}"/>
                  </a:ext>
                </a:extLst>
              </xdr:cNvPr>
              <xdr:cNvSpPr/>
            </xdr:nvSpPr>
            <xdr:spPr bwMode="auto">
              <a:xfrm>
                <a:off x="6648740" y="457200"/>
                <a:ext cx="607958" cy="161925"/>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900" b="0" i="0" u="none" strike="noStrike" baseline="0">
                    <a:solidFill>
                      <a:srgbClr val="000000"/>
                    </a:solidFill>
                    <a:latin typeface="Calibri" pitchFamily="2" charset="0"/>
                    <a:cs typeface="Calibri" pitchFamily="2" charset="0"/>
                  </a:rPr>
                  <a:t>Last Month</a:t>
                </a:r>
              </a:p>
              <a:p>
                <a:pPr algn="ctr" rtl="0">
                  <a:defRPr sz="1000"/>
                </a:pPr>
                <a:endParaRPr lang="en-GB" sz="900" b="0" i="0" u="none" strike="noStrike" baseline="0">
                  <a:solidFill>
                    <a:srgbClr val="000000"/>
                  </a:solidFill>
                  <a:latin typeface="Calibri" pitchFamily="2" charset="0"/>
                  <a:cs typeface="Calibri" pitchFamily="2" charset="0"/>
                </a:endParaRPr>
              </a:p>
            </xdr:txBody>
          </xdr:sp>
        </mc:Choice>
        <mc:Fallback/>
      </mc:AlternateContent>
      <xdr:sp macro="" textlink="">
        <xdr:nvSpPr>
          <xdr:cNvPr id="15" name="TextBox 14">
            <a:extLst>
              <a:ext uri="{FF2B5EF4-FFF2-40B4-BE49-F238E27FC236}">
                <a16:creationId xmlns:a16="http://schemas.microsoft.com/office/drawing/2014/main" id="{00000000-0008-0000-0100-00000F000000}"/>
              </a:ext>
            </a:extLst>
          </xdr:cNvPr>
          <xdr:cNvSpPr txBox="1"/>
        </xdr:nvSpPr>
        <xdr:spPr>
          <a:xfrm>
            <a:off x="6133652" y="289823"/>
            <a:ext cx="472528" cy="17894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AU" sz="800" strike="noStrike" cap="none" baseline="0"/>
              <a:t>ENTRY</a:t>
            </a:r>
          </a:p>
        </xdr:txBody>
      </xdr:sp>
    </xdr:grpSp>
    <xdr:clientData/>
  </xdr:twoCellAnchor>
  <xdr:twoCellAnchor editAs="absolute">
    <xdr:from>
      <xdr:col>3</xdr:col>
      <xdr:colOff>1412734</xdr:colOff>
      <xdr:row>1</xdr:row>
      <xdr:rowOff>75393</xdr:rowOff>
    </xdr:from>
    <xdr:to>
      <xdr:col>5</xdr:col>
      <xdr:colOff>482602</xdr:colOff>
      <xdr:row>1</xdr:row>
      <xdr:rowOff>320675</xdr:rowOff>
    </xdr:to>
    <xdr:grpSp>
      <xdr:nvGrpSpPr>
        <xdr:cNvPr id="5" name="Group 4">
          <a:extLst>
            <a:ext uri="{FF2B5EF4-FFF2-40B4-BE49-F238E27FC236}">
              <a16:creationId xmlns:a16="http://schemas.microsoft.com/office/drawing/2014/main" id="{00000000-0008-0000-0100-000005000000}"/>
            </a:ext>
          </a:extLst>
        </xdr:cNvPr>
        <xdr:cNvGrpSpPr/>
      </xdr:nvGrpSpPr>
      <xdr:grpSpPr>
        <a:xfrm>
          <a:off x="2996001" y="270126"/>
          <a:ext cx="1838468" cy="245282"/>
          <a:chOff x="2750995" y="418293"/>
          <a:chExt cx="1554305" cy="242120"/>
        </a:xfrm>
      </xdr:grpSpPr>
      <xdr:sp macro="" textlink="" fLocksText="0">
        <xdr:nvSpPr>
          <xdr:cNvPr id="24" name="Rounded Rectangle 23">
            <a:extLst>
              <a:ext uri="{FF2B5EF4-FFF2-40B4-BE49-F238E27FC236}">
                <a16:creationId xmlns:a16="http://schemas.microsoft.com/office/drawing/2014/main" id="{00000000-0008-0000-0100-000018000000}"/>
              </a:ext>
            </a:extLst>
          </xdr:cNvPr>
          <xdr:cNvSpPr>
            <a:spLocks noChangeAspect="1"/>
          </xdr:cNvSpPr>
        </xdr:nvSpPr>
        <xdr:spPr>
          <a:xfrm>
            <a:off x="2750995" y="418293"/>
            <a:ext cx="1554305" cy="242120"/>
          </a:xfrm>
          <a:prstGeom prst="roundRect">
            <a:avLst/>
          </a:prstGeom>
          <a:solidFill>
            <a:schemeClr val="bg1">
              <a:lumMod val="95000"/>
            </a:schemeClr>
          </a:solidFill>
          <a:ln w="3175">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ctr"/>
            <a:endParaRPr lang="en-AU" sz="800" b="0">
              <a:solidFill>
                <a:sysClr val="windowText" lastClr="000000"/>
              </a:solidFill>
            </a:endParaRPr>
          </a:p>
        </xdr:txBody>
      </xdr:sp>
      <mc:AlternateContent xmlns:mc="http://schemas.openxmlformats.org/markup-compatibility/2006">
        <mc:Choice xmlns:a14="http://schemas.microsoft.com/office/drawing/2010/main" Requires="a14">
          <xdr:sp macro="" textlink="">
            <xdr:nvSpPr>
              <xdr:cNvPr id="18451" name="Button 19" descr="FX" hidden="1">
                <a:extLst>
                  <a:ext uri="{63B3BB69-23CF-44E3-9099-C40C66FF867C}">
                    <a14:compatExt spid="_x0000_s18451"/>
                  </a:ext>
                  <a:ext uri="{FF2B5EF4-FFF2-40B4-BE49-F238E27FC236}">
                    <a16:creationId xmlns:a16="http://schemas.microsoft.com/office/drawing/2014/main" id="{00000000-0008-0000-0100-000013480000}"/>
                  </a:ext>
                </a:extLst>
              </xdr:cNvPr>
              <xdr:cNvSpPr/>
            </xdr:nvSpPr>
            <xdr:spPr bwMode="auto">
              <a:xfrm>
                <a:off x="4056502" y="457200"/>
                <a:ext cx="204244" cy="161925"/>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900" b="0" i="0" u="none" strike="noStrike" baseline="0">
                    <a:solidFill>
                      <a:srgbClr val="000000"/>
                    </a:solidFill>
                    <a:latin typeface="Calibri" pitchFamily="2" charset="0"/>
                    <a:cs typeface="Calibri" pitchFamily="2" charset="0"/>
                  </a:rPr>
                  <a:t>FX</a:t>
                </a:r>
              </a:p>
            </xdr:txBody>
          </xdr:sp>
        </mc:Choice>
        <mc:Fallback/>
      </mc:AlternateContent>
      <mc:AlternateContent xmlns:mc="http://schemas.openxmlformats.org/markup-compatibility/2006">
        <mc:Choice xmlns:a14="http://schemas.microsoft.com/office/drawing/2010/main" Requires="a14">
          <xdr:sp macro="" textlink="">
            <xdr:nvSpPr>
              <xdr:cNvPr id="18452" name="Button 20" descr="Short" hidden="1">
                <a:extLst>
                  <a:ext uri="{63B3BB69-23CF-44E3-9099-C40C66FF867C}">
                    <a14:compatExt spid="_x0000_s18452"/>
                  </a:ext>
                  <a:ext uri="{FF2B5EF4-FFF2-40B4-BE49-F238E27FC236}">
                    <a16:creationId xmlns:a16="http://schemas.microsoft.com/office/drawing/2014/main" id="{00000000-0008-0000-0100-000014480000}"/>
                  </a:ext>
                </a:extLst>
              </xdr:cNvPr>
              <xdr:cNvSpPr/>
            </xdr:nvSpPr>
            <xdr:spPr bwMode="auto">
              <a:xfrm>
                <a:off x="3652653" y="457200"/>
                <a:ext cx="397737" cy="161925"/>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900" b="0" i="0" u="none" strike="noStrike" baseline="0">
                    <a:solidFill>
                      <a:srgbClr val="000000"/>
                    </a:solidFill>
                    <a:latin typeface="Calibri" pitchFamily="2" charset="0"/>
                    <a:cs typeface="Calibri" pitchFamily="2" charset="0"/>
                  </a:rPr>
                  <a:t>Short</a:t>
                </a:r>
              </a:p>
            </xdr:txBody>
          </xdr:sp>
        </mc:Choice>
        <mc:Fallback/>
      </mc:AlternateContent>
      <mc:AlternateContent xmlns:mc="http://schemas.openxmlformats.org/markup-compatibility/2006">
        <mc:Choice xmlns:a14="http://schemas.microsoft.com/office/drawing/2010/main" Requires="a14">
          <xdr:sp macro="" textlink="">
            <xdr:nvSpPr>
              <xdr:cNvPr id="18453" name="Button 21" descr="Long" hidden="1">
                <a:extLst>
                  <a:ext uri="{63B3BB69-23CF-44E3-9099-C40C66FF867C}">
                    <a14:compatExt spid="_x0000_s18453"/>
                  </a:ext>
                  <a:ext uri="{FF2B5EF4-FFF2-40B4-BE49-F238E27FC236}">
                    <a16:creationId xmlns:a16="http://schemas.microsoft.com/office/drawing/2014/main" id="{00000000-0008-0000-0100-000015480000}"/>
                  </a:ext>
                </a:extLst>
              </xdr:cNvPr>
              <xdr:cNvSpPr/>
            </xdr:nvSpPr>
            <xdr:spPr bwMode="auto">
              <a:xfrm>
                <a:off x="3291802" y="457200"/>
                <a:ext cx="354738" cy="161925"/>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900" b="0" i="0" u="none" strike="noStrike" baseline="0">
                    <a:solidFill>
                      <a:srgbClr val="000000"/>
                    </a:solidFill>
                    <a:latin typeface="Calibri" pitchFamily="2" charset="0"/>
                    <a:cs typeface="Calibri" pitchFamily="2" charset="0"/>
                  </a:rPr>
                  <a:t>Long</a:t>
                </a:r>
              </a:p>
            </xdr:txBody>
          </xdr:sp>
        </mc:Choice>
        <mc:Fallback/>
      </mc:AlternateContent>
      <mc:AlternateContent xmlns:mc="http://schemas.openxmlformats.org/markup-compatibility/2006">
        <mc:Choice xmlns:a14="http://schemas.microsoft.com/office/drawing/2010/main" Requires="a14">
          <xdr:sp macro="" textlink="">
            <xdr:nvSpPr>
              <xdr:cNvPr id="18454" name="Button 22" descr="Reorder" hidden="1">
                <a:extLst>
                  <a:ext uri="{63B3BB69-23CF-44E3-9099-C40C66FF867C}">
                    <a14:compatExt spid="_x0000_s18454"/>
                  </a:ext>
                  <a:ext uri="{FF2B5EF4-FFF2-40B4-BE49-F238E27FC236}">
                    <a16:creationId xmlns:a16="http://schemas.microsoft.com/office/drawing/2014/main" id="{00000000-0008-0000-0100-000016480000}"/>
                  </a:ext>
                </a:extLst>
              </xdr:cNvPr>
              <xdr:cNvSpPr/>
            </xdr:nvSpPr>
            <xdr:spPr bwMode="auto">
              <a:xfrm>
                <a:off x="2775820" y="457200"/>
                <a:ext cx="505233" cy="161925"/>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900" b="0" i="0" u="none" strike="noStrike" baseline="0">
                    <a:solidFill>
                      <a:srgbClr val="000000"/>
                    </a:solidFill>
                    <a:latin typeface="Calibri" pitchFamily="2" charset="0"/>
                    <a:cs typeface="Calibri" pitchFamily="2" charset="0"/>
                  </a:rPr>
                  <a:t>Reorder</a:t>
                </a:r>
              </a:p>
              <a:p>
                <a:pPr algn="ctr" rtl="0">
                  <a:defRPr sz="1000"/>
                </a:pPr>
                <a:r>
                  <a:rPr lang="en-GB" sz="900" b="0" i="0" u="none" strike="noStrike" baseline="0">
                    <a:solidFill>
                      <a:srgbClr val="000000"/>
                    </a:solidFill>
                    <a:latin typeface="Calibri" pitchFamily="2" charset="0"/>
                    <a:cs typeface="Calibri" pitchFamily="2" charset="0"/>
                  </a:rPr>
                  <a:t>efresh</a:t>
                </a:r>
              </a:p>
            </xdr:txBody>
          </xdr:sp>
        </mc:Choice>
        <mc:Fallback/>
      </mc:AlternateContent>
    </xdr:grpSp>
    <xdr:clientData fPrintsWithSheet="0"/>
  </xdr:twoCellAnchor>
  <mc:AlternateContent xmlns:mc="http://schemas.openxmlformats.org/markup-compatibility/2006">
    <mc:Choice xmlns:a14="http://schemas.microsoft.com/office/drawing/2010/main" Requires="a14">
      <xdr:twoCellAnchor editAs="absolute">
        <xdr:from>
          <xdr:col>2</xdr:col>
          <xdr:colOff>92077</xdr:colOff>
          <xdr:row>1</xdr:row>
          <xdr:rowOff>320675</xdr:rowOff>
        </xdr:from>
        <xdr:to>
          <xdr:col>2</xdr:col>
          <xdr:colOff>364202</xdr:colOff>
          <xdr:row>5</xdr:row>
          <xdr:rowOff>188017</xdr:rowOff>
        </xdr:to>
        <xdr:grpSp>
          <xdr:nvGrpSpPr>
            <xdr:cNvPr id="4" name="Group 3">
              <a:extLst>
                <a:ext uri="{FF2B5EF4-FFF2-40B4-BE49-F238E27FC236}">
                  <a16:creationId xmlns:a16="http://schemas.microsoft.com/office/drawing/2014/main" id="{00000000-0008-0000-0100-000004000000}"/>
                </a:ext>
              </a:extLst>
            </xdr:cNvPr>
            <xdr:cNvGrpSpPr/>
          </xdr:nvGrpSpPr>
          <xdr:grpSpPr>
            <a:xfrm>
              <a:off x="1218144" y="515408"/>
              <a:ext cx="272125" cy="299142"/>
              <a:chOff x="1000125" y="485748"/>
              <a:chExt cx="288000" cy="297603"/>
            </a:xfrm>
          </xdr:grpSpPr>
          <xdr:sp macro="" textlink="">
            <xdr:nvSpPr>
              <xdr:cNvPr id="18499" name="Button 67" descr="Reorder" hidden="1">
                <a:extLst>
                  <a:ext uri="{63B3BB69-23CF-44E3-9099-C40C66FF867C}">
                    <a14:compatExt spid="_x0000_s18499"/>
                  </a:ext>
                  <a:ext uri="{FF2B5EF4-FFF2-40B4-BE49-F238E27FC236}">
                    <a16:creationId xmlns:a16="http://schemas.microsoft.com/office/drawing/2014/main" id="{00000000-0008-0000-0100-000043480000}"/>
                  </a:ext>
                </a:extLst>
              </xdr:cNvPr>
              <xdr:cNvSpPr/>
            </xdr:nvSpPr>
            <xdr:spPr bwMode="auto">
              <a:xfrm>
                <a:off x="1000125" y="639362"/>
                <a:ext cx="288000" cy="143989"/>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900" b="0" i="0" u="none" strike="noStrike" baseline="0">
                    <a:solidFill>
                      <a:srgbClr val="000000"/>
                    </a:solidFill>
                    <a:latin typeface="Calibri" pitchFamily="2" charset="0"/>
                    <a:cs typeface="Calibri" pitchFamily="2" charset="0"/>
                  </a:rPr>
                  <a:t>USD</a:t>
                </a:r>
              </a:p>
              <a:p>
                <a:pPr algn="ctr" rtl="0">
                  <a:defRPr sz="1000"/>
                </a:pPr>
                <a:endParaRPr lang="en-GB" sz="900" b="0" i="0" u="none" strike="noStrike" baseline="0">
                  <a:solidFill>
                    <a:srgbClr val="000000"/>
                  </a:solidFill>
                  <a:latin typeface="Calibri" pitchFamily="2" charset="0"/>
                  <a:cs typeface="Calibri" pitchFamily="2" charset="0"/>
                </a:endParaRPr>
              </a:p>
              <a:p>
                <a:pPr algn="ctr" rtl="0">
                  <a:defRPr sz="1000"/>
                </a:pPr>
                <a:r>
                  <a:rPr lang="en-GB" sz="900" b="0" i="0" u="none" strike="noStrike" baseline="0">
                    <a:solidFill>
                      <a:srgbClr val="000000"/>
                    </a:solidFill>
                    <a:latin typeface="Calibri" pitchFamily="2" charset="0"/>
                    <a:cs typeface="Calibri" pitchFamily="2" charset="0"/>
                  </a:rPr>
                  <a:t>efresh</a:t>
                </a:r>
              </a:p>
            </xdr:txBody>
          </xdr:sp>
          <xdr:sp macro="" textlink="">
            <xdr:nvSpPr>
              <xdr:cNvPr id="18500" name="Button 68" descr="Reorder" hidden="1">
                <a:extLst>
                  <a:ext uri="{63B3BB69-23CF-44E3-9099-C40C66FF867C}">
                    <a14:compatExt spid="_x0000_s18500"/>
                  </a:ext>
                  <a:ext uri="{FF2B5EF4-FFF2-40B4-BE49-F238E27FC236}">
                    <a16:creationId xmlns:a16="http://schemas.microsoft.com/office/drawing/2014/main" id="{00000000-0008-0000-0100-000044480000}"/>
                  </a:ext>
                </a:extLst>
              </xdr:cNvPr>
              <xdr:cNvSpPr/>
            </xdr:nvSpPr>
            <xdr:spPr bwMode="auto">
              <a:xfrm>
                <a:off x="1000125" y="485748"/>
                <a:ext cx="288000" cy="142876"/>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900" b="0" i="0" u="none" strike="noStrike" baseline="0">
                    <a:solidFill>
                      <a:srgbClr val="000000"/>
                    </a:solidFill>
                    <a:latin typeface="Calibri" pitchFamily="2" charset="0"/>
                    <a:cs typeface="Calibri" pitchFamily="2" charset="0"/>
                  </a:rPr>
                  <a:t>Base</a:t>
                </a:r>
              </a:p>
              <a:p>
                <a:pPr algn="ctr" rtl="0">
                  <a:defRPr sz="1000"/>
                </a:pPr>
                <a:endParaRPr lang="en-GB" sz="900" b="0" i="0" u="none" strike="noStrike" baseline="0">
                  <a:solidFill>
                    <a:srgbClr val="000000"/>
                  </a:solidFill>
                  <a:latin typeface="Calibri" pitchFamily="2" charset="0"/>
                  <a:cs typeface="Calibri" pitchFamily="2" charset="0"/>
                </a:endParaRPr>
              </a:p>
              <a:p>
                <a:pPr algn="ctr" rtl="0">
                  <a:defRPr sz="1000"/>
                </a:pPr>
                <a:endParaRPr lang="en-GB" sz="900" b="0" i="0" u="none" strike="noStrike" baseline="0">
                  <a:solidFill>
                    <a:srgbClr val="000000"/>
                  </a:solidFill>
                  <a:latin typeface="Calibri" pitchFamily="2" charset="0"/>
                  <a:cs typeface="Calibri" pitchFamily="2" charset="0"/>
                </a:endParaRPr>
              </a:p>
              <a:p>
                <a:pPr algn="ctr" rtl="0">
                  <a:defRPr sz="1000"/>
                </a:pPr>
                <a:r>
                  <a:rPr lang="en-GB" sz="900" b="0" i="0" u="none" strike="noStrike" baseline="0">
                    <a:solidFill>
                      <a:srgbClr val="000000"/>
                    </a:solidFill>
                    <a:latin typeface="Calibri" pitchFamily="2" charset="0"/>
                    <a:cs typeface="Calibri" pitchFamily="2" charset="0"/>
                  </a:rPr>
                  <a:t>efresh</a:t>
                </a:r>
              </a:p>
            </xdr:txBody>
          </xdr:sp>
        </xdr:grp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393700</xdr:colOff>
          <xdr:row>1</xdr:row>
          <xdr:rowOff>254000</xdr:rowOff>
        </xdr:from>
        <xdr:to>
          <xdr:col>12</xdr:col>
          <xdr:colOff>546100</xdr:colOff>
          <xdr:row>1</xdr:row>
          <xdr:rowOff>381000</xdr:rowOff>
        </xdr:to>
        <xdr:sp macro="" textlink="">
          <xdr:nvSpPr>
            <xdr:cNvPr id="18505" name="Button 73" hidden="1">
              <a:extLst>
                <a:ext uri="{63B3BB69-23CF-44E3-9099-C40C66FF867C}">
                  <a14:compatExt spid="_x0000_s18505"/>
                </a:ext>
                <a:ext uri="{FF2B5EF4-FFF2-40B4-BE49-F238E27FC236}">
                  <a16:creationId xmlns:a16="http://schemas.microsoft.com/office/drawing/2014/main" id="{00000000-0008-0000-0100-0000494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900" b="0" i="0" u="none" strike="noStrike" baseline="0">
                  <a:solidFill>
                    <a:srgbClr val="000000"/>
                  </a:solidFill>
                  <a:latin typeface="Calibri" pitchFamily="2" charset="0"/>
                  <a:cs typeface="Calibri" pitchFamily="2" charset="0"/>
                </a:rPr>
                <a:t>Add 20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393700</xdr:colOff>
          <xdr:row>1</xdr:row>
          <xdr:rowOff>25400</xdr:rowOff>
        </xdr:from>
        <xdr:to>
          <xdr:col>12</xdr:col>
          <xdr:colOff>546100</xdr:colOff>
          <xdr:row>1</xdr:row>
          <xdr:rowOff>177800</xdr:rowOff>
        </xdr:to>
        <xdr:sp macro="" textlink="">
          <xdr:nvSpPr>
            <xdr:cNvPr id="18506" name="Button 74" hidden="1">
              <a:extLst>
                <a:ext uri="{63B3BB69-23CF-44E3-9099-C40C66FF867C}">
                  <a14:compatExt spid="_x0000_s18506"/>
                </a:ext>
                <a:ext uri="{FF2B5EF4-FFF2-40B4-BE49-F238E27FC236}">
                  <a16:creationId xmlns:a16="http://schemas.microsoft.com/office/drawing/2014/main" id="{00000000-0008-0000-0100-00004A4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900" b="0" i="0" u="none" strike="noStrike" baseline="0">
                  <a:solidFill>
                    <a:srgbClr val="000000"/>
                  </a:solidFill>
                  <a:latin typeface="Calibri" pitchFamily="2" charset="0"/>
                  <a:cs typeface="Calibri" pitchFamily="2" charset="0"/>
                </a:rPr>
                <a:t>Delete Rows</a:t>
              </a:r>
            </a:p>
          </xdr:txBody>
        </xdr:sp>
        <xdr:clientData fPrintsWithSheet="0"/>
      </xdr:twoCellAnchor>
    </mc:Choice>
    <mc:Fallback/>
  </mc:AlternateContent>
  <xdr:twoCellAnchor editAs="absolute">
    <xdr:from>
      <xdr:col>8</xdr:col>
      <xdr:colOff>311883</xdr:colOff>
      <xdr:row>0</xdr:row>
      <xdr:rowOff>149908</xdr:rowOff>
    </xdr:from>
    <xdr:to>
      <xdr:col>11</xdr:col>
      <xdr:colOff>97995</xdr:colOff>
      <xdr:row>1</xdr:row>
      <xdr:rowOff>301625</xdr:rowOff>
    </xdr:to>
    <xdr:grpSp>
      <xdr:nvGrpSpPr>
        <xdr:cNvPr id="28" name="Group 27">
          <a:extLst>
            <a:ext uri="{FF2B5EF4-FFF2-40B4-BE49-F238E27FC236}">
              <a16:creationId xmlns:a16="http://schemas.microsoft.com/office/drawing/2014/main" id="{00000000-0008-0000-0100-00001C000000}"/>
            </a:ext>
          </a:extLst>
        </xdr:cNvPr>
        <xdr:cNvGrpSpPr/>
      </xdr:nvGrpSpPr>
      <xdr:grpSpPr>
        <a:xfrm>
          <a:off x="7296883" y="149908"/>
          <a:ext cx="1970512" cy="346450"/>
          <a:chOff x="5598125" y="289823"/>
          <a:chExt cx="1691206" cy="356874"/>
        </a:xfrm>
      </xdr:grpSpPr>
      <xdr:sp macro="" textlink="">
        <xdr:nvSpPr>
          <xdr:cNvPr id="29" name="Rounded Rectangle 10">
            <a:extLst>
              <a:ext uri="{FF2B5EF4-FFF2-40B4-BE49-F238E27FC236}">
                <a16:creationId xmlns:a16="http://schemas.microsoft.com/office/drawing/2014/main" id="{00000000-0008-0000-0100-00001D000000}"/>
              </a:ext>
            </a:extLst>
          </xdr:cNvPr>
          <xdr:cNvSpPr/>
        </xdr:nvSpPr>
        <xdr:spPr>
          <a:xfrm>
            <a:off x="5598125" y="432955"/>
            <a:ext cx="1691206" cy="213742"/>
          </a:xfrm>
          <a:prstGeom prst="roundRect">
            <a:avLst/>
          </a:prstGeom>
          <a:solidFill>
            <a:schemeClr val="bg1">
              <a:lumMod val="95000"/>
            </a:schemeClr>
          </a:solidFill>
          <a:ln w="3175">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ctr"/>
            <a:endParaRPr lang="en-AU" sz="800" b="0">
              <a:solidFill>
                <a:sysClr val="windowText" lastClr="000000"/>
              </a:solidFill>
            </a:endParaRPr>
          </a:p>
        </xdr:txBody>
      </xdr:sp>
      <mc:AlternateContent xmlns:mc="http://schemas.openxmlformats.org/markup-compatibility/2006">
        <mc:Choice xmlns:a14="http://schemas.microsoft.com/office/drawing/2010/main" Requires="a14">
          <xdr:sp macro="" textlink="">
            <xdr:nvSpPr>
              <xdr:cNvPr id="18516" name="Button 84" hidden="1">
                <a:extLst>
                  <a:ext uri="{63B3BB69-23CF-44E3-9099-C40C66FF867C}">
                    <a14:compatExt spid="_x0000_s18516"/>
                  </a:ext>
                  <a:ext uri="{FF2B5EF4-FFF2-40B4-BE49-F238E27FC236}">
                    <a16:creationId xmlns:a16="http://schemas.microsoft.com/office/drawing/2014/main" id="{00000000-0008-0000-0100-000054480000}"/>
                  </a:ext>
                </a:extLst>
              </xdr:cNvPr>
              <xdr:cNvSpPr/>
            </xdr:nvSpPr>
            <xdr:spPr bwMode="auto">
              <a:xfrm>
                <a:off x="5621374" y="457200"/>
                <a:ext cx="401095" cy="161925"/>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900" b="0" i="0" u="none" strike="noStrike" baseline="0">
                    <a:solidFill>
                      <a:srgbClr val="000000"/>
                    </a:solidFill>
                    <a:latin typeface="Calibri" pitchFamily="2" charset="0"/>
                    <a:cs typeface="Calibri" pitchFamily="2" charset="0"/>
                  </a:rPr>
                  <a:t>Today Buys</a:t>
                </a:r>
              </a:p>
            </xdr:txBody>
          </xdr:sp>
        </mc:Choice>
        <mc:Fallback/>
      </mc:AlternateContent>
      <mc:AlternateContent xmlns:mc="http://schemas.openxmlformats.org/markup-compatibility/2006">
        <mc:Choice xmlns:a14="http://schemas.microsoft.com/office/drawing/2010/main" Requires="a14">
          <xdr:sp macro="" textlink="">
            <xdr:nvSpPr>
              <xdr:cNvPr id="18517" name="Button 85" descr="This Month" hidden="1">
                <a:extLst>
                  <a:ext uri="{63B3BB69-23CF-44E3-9099-C40C66FF867C}">
                    <a14:compatExt spid="_x0000_s18517"/>
                  </a:ext>
                  <a:ext uri="{FF2B5EF4-FFF2-40B4-BE49-F238E27FC236}">
                    <a16:creationId xmlns:a16="http://schemas.microsoft.com/office/drawing/2014/main" id="{00000000-0008-0000-0100-000055480000}"/>
                  </a:ext>
                </a:extLst>
              </xdr:cNvPr>
              <xdr:cNvSpPr/>
            </xdr:nvSpPr>
            <xdr:spPr bwMode="auto">
              <a:xfrm>
                <a:off x="6031994" y="457200"/>
                <a:ext cx="607547" cy="161925"/>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900" b="0" i="0" u="none" strike="noStrike" baseline="0">
                    <a:solidFill>
                      <a:srgbClr val="000000"/>
                    </a:solidFill>
                    <a:latin typeface="Calibri" pitchFamily="2" charset="0"/>
                    <a:cs typeface="Calibri" pitchFamily="2" charset="0"/>
                  </a:rPr>
                  <a:t>This Month</a:t>
                </a:r>
              </a:p>
              <a:p>
                <a:pPr algn="ctr" rtl="0">
                  <a:defRPr sz="1000"/>
                </a:pPr>
                <a:r>
                  <a:rPr lang="en-GB" sz="900" b="0" i="0" u="none" strike="noStrike" baseline="0">
                    <a:solidFill>
                      <a:srgbClr val="000000"/>
                    </a:solidFill>
                    <a:latin typeface="Calibri" pitchFamily="2" charset="0"/>
                    <a:cs typeface="Calibri" pitchFamily="2" charset="0"/>
                  </a:rPr>
                  <a:t>ton 28</a:t>
                </a:r>
              </a:p>
            </xdr:txBody>
          </xdr:sp>
        </mc:Choice>
        <mc:Fallback/>
      </mc:AlternateContent>
      <mc:AlternateContent xmlns:mc="http://schemas.openxmlformats.org/markup-compatibility/2006">
        <mc:Choice xmlns:a14="http://schemas.microsoft.com/office/drawing/2010/main" Requires="a14">
          <xdr:sp macro="" textlink="">
            <xdr:nvSpPr>
              <xdr:cNvPr id="18518" name="Button 86" descr="Last Month" hidden="1">
                <a:extLst>
                  <a:ext uri="{63B3BB69-23CF-44E3-9099-C40C66FF867C}">
                    <a14:compatExt spid="_x0000_s18518"/>
                  </a:ext>
                  <a:ext uri="{FF2B5EF4-FFF2-40B4-BE49-F238E27FC236}">
                    <a16:creationId xmlns:a16="http://schemas.microsoft.com/office/drawing/2014/main" id="{00000000-0008-0000-0100-000056480000}"/>
                  </a:ext>
                </a:extLst>
              </xdr:cNvPr>
              <xdr:cNvSpPr/>
            </xdr:nvSpPr>
            <xdr:spPr bwMode="auto">
              <a:xfrm>
                <a:off x="6648739" y="457200"/>
                <a:ext cx="607958" cy="161925"/>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900" b="0" i="0" u="none" strike="noStrike" baseline="0">
                    <a:solidFill>
                      <a:srgbClr val="000000"/>
                    </a:solidFill>
                    <a:latin typeface="Calibri" pitchFamily="2" charset="0"/>
                    <a:cs typeface="Calibri" pitchFamily="2" charset="0"/>
                  </a:rPr>
                  <a:t>Last Month</a:t>
                </a:r>
              </a:p>
              <a:p>
                <a:pPr algn="ctr" rtl="0">
                  <a:defRPr sz="1000"/>
                </a:pPr>
                <a:endParaRPr lang="en-GB" sz="900" b="0" i="0" u="none" strike="noStrike" baseline="0">
                  <a:solidFill>
                    <a:srgbClr val="000000"/>
                  </a:solidFill>
                  <a:latin typeface="Calibri" pitchFamily="2" charset="0"/>
                  <a:cs typeface="Calibri" pitchFamily="2" charset="0"/>
                </a:endParaRPr>
              </a:p>
            </xdr:txBody>
          </xdr:sp>
        </mc:Choice>
        <mc:Fallback/>
      </mc:AlternateContent>
      <xdr:sp macro="" textlink="">
        <xdr:nvSpPr>
          <xdr:cNvPr id="33" name="TextBox 32">
            <a:extLst>
              <a:ext uri="{FF2B5EF4-FFF2-40B4-BE49-F238E27FC236}">
                <a16:creationId xmlns:a16="http://schemas.microsoft.com/office/drawing/2014/main" id="{00000000-0008-0000-0100-000021000000}"/>
              </a:ext>
            </a:extLst>
          </xdr:cNvPr>
          <xdr:cNvSpPr txBox="1"/>
        </xdr:nvSpPr>
        <xdr:spPr>
          <a:xfrm>
            <a:off x="6133652" y="289823"/>
            <a:ext cx="472528" cy="17894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AU" sz="800" strike="noStrike" cap="none" baseline="0"/>
              <a:t>EXIT</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20</xdr:col>
      <xdr:colOff>571500</xdr:colOff>
      <xdr:row>0</xdr:row>
      <xdr:rowOff>85725</xdr:rowOff>
    </xdr:from>
    <xdr:to>
      <xdr:col>23</xdr:col>
      <xdr:colOff>649287</xdr:colOff>
      <xdr:row>1</xdr:row>
      <xdr:rowOff>188383</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839825" y="85725"/>
          <a:ext cx="2193925" cy="283633"/>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95250</xdr:colOff>
          <xdr:row>1</xdr:row>
          <xdr:rowOff>304800</xdr:rowOff>
        </xdr:from>
        <xdr:to>
          <xdr:col>2</xdr:col>
          <xdr:colOff>383250</xdr:colOff>
          <xdr:row>6</xdr:row>
          <xdr:rowOff>2279</xdr:rowOff>
        </xdr:to>
        <xdr:grpSp>
          <xdr:nvGrpSpPr>
            <xdr:cNvPr id="25" name="Group 24">
              <a:extLst>
                <a:ext uri="{FF2B5EF4-FFF2-40B4-BE49-F238E27FC236}">
                  <a16:creationId xmlns:a16="http://schemas.microsoft.com/office/drawing/2014/main" id="{00000000-0008-0000-0200-000019000000}"/>
                </a:ext>
              </a:extLst>
            </xdr:cNvPr>
            <xdr:cNvGrpSpPr/>
          </xdr:nvGrpSpPr>
          <xdr:grpSpPr>
            <a:xfrm>
              <a:off x="1365250" y="499533"/>
              <a:ext cx="288000" cy="281679"/>
              <a:chOff x="1000125" y="495306"/>
              <a:chExt cx="288000" cy="288025"/>
            </a:xfrm>
          </xdr:grpSpPr>
          <xdr:sp macro="" textlink="">
            <xdr:nvSpPr>
              <xdr:cNvPr id="19569" name="Button 113" descr="Reorder" hidden="1">
                <a:extLst>
                  <a:ext uri="{63B3BB69-23CF-44E3-9099-C40C66FF867C}">
                    <a14:compatExt spid="_x0000_s19569"/>
                  </a:ext>
                  <a:ext uri="{FF2B5EF4-FFF2-40B4-BE49-F238E27FC236}">
                    <a16:creationId xmlns:a16="http://schemas.microsoft.com/office/drawing/2014/main" id="{00000000-0008-0000-0200-0000714C0000}"/>
                  </a:ext>
                </a:extLst>
              </xdr:cNvPr>
              <xdr:cNvSpPr/>
            </xdr:nvSpPr>
            <xdr:spPr bwMode="auto">
              <a:xfrm>
                <a:off x="1000125" y="639331"/>
                <a:ext cx="288000" cy="144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900" b="0" i="0" u="none" strike="noStrike" baseline="0">
                    <a:solidFill>
                      <a:srgbClr val="000000"/>
                    </a:solidFill>
                    <a:latin typeface="Calibri" pitchFamily="2" charset="0"/>
                    <a:cs typeface="Calibri" pitchFamily="2" charset="0"/>
                  </a:rPr>
                  <a:t>USD</a:t>
                </a:r>
              </a:p>
              <a:p>
                <a:pPr algn="ctr" rtl="0">
                  <a:defRPr sz="1000"/>
                </a:pPr>
                <a:endParaRPr lang="en-GB" sz="900" b="0" i="0" u="none" strike="noStrike" baseline="0">
                  <a:solidFill>
                    <a:srgbClr val="000000"/>
                  </a:solidFill>
                  <a:latin typeface="Calibri" pitchFamily="2" charset="0"/>
                  <a:cs typeface="Calibri" pitchFamily="2" charset="0"/>
                </a:endParaRPr>
              </a:p>
              <a:p>
                <a:pPr algn="ctr" rtl="0">
                  <a:defRPr sz="1000"/>
                </a:pPr>
                <a:r>
                  <a:rPr lang="en-GB" sz="900" b="0" i="0" u="none" strike="noStrike" baseline="0">
                    <a:solidFill>
                      <a:srgbClr val="000000"/>
                    </a:solidFill>
                    <a:latin typeface="Calibri" pitchFamily="2" charset="0"/>
                    <a:cs typeface="Calibri" pitchFamily="2" charset="0"/>
                  </a:rPr>
                  <a:t>efresh</a:t>
                </a:r>
              </a:p>
            </xdr:txBody>
          </xdr:sp>
          <xdr:sp macro="" textlink="">
            <xdr:nvSpPr>
              <xdr:cNvPr id="19570" name="Button 114" descr="Reorder" hidden="1">
                <a:extLst>
                  <a:ext uri="{63B3BB69-23CF-44E3-9099-C40C66FF867C}">
                    <a14:compatExt spid="_x0000_s19570"/>
                  </a:ext>
                  <a:ext uri="{FF2B5EF4-FFF2-40B4-BE49-F238E27FC236}">
                    <a16:creationId xmlns:a16="http://schemas.microsoft.com/office/drawing/2014/main" id="{00000000-0008-0000-0200-0000724C0000}"/>
                  </a:ext>
                </a:extLst>
              </xdr:cNvPr>
              <xdr:cNvSpPr/>
            </xdr:nvSpPr>
            <xdr:spPr bwMode="auto">
              <a:xfrm>
                <a:off x="1000125" y="495306"/>
                <a:ext cx="288000" cy="1428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900" b="0" i="0" u="none" strike="noStrike" baseline="0">
                    <a:solidFill>
                      <a:srgbClr val="000000"/>
                    </a:solidFill>
                    <a:latin typeface="Calibri" pitchFamily="2" charset="0"/>
                    <a:cs typeface="Calibri" pitchFamily="2" charset="0"/>
                  </a:rPr>
                  <a:t>Base</a:t>
                </a:r>
              </a:p>
              <a:p>
                <a:pPr algn="ctr" rtl="0">
                  <a:defRPr sz="1000"/>
                </a:pPr>
                <a:endParaRPr lang="en-GB" sz="900" b="0" i="0" u="none" strike="noStrike" baseline="0">
                  <a:solidFill>
                    <a:srgbClr val="000000"/>
                  </a:solidFill>
                  <a:latin typeface="Calibri" pitchFamily="2" charset="0"/>
                  <a:cs typeface="Calibri" pitchFamily="2" charset="0"/>
                </a:endParaRPr>
              </a:p>
              <a:p>
                <a:pPr algn="ctr" rtl="0">
                  <a:defRPr sz="1000"/>
                </a:pPr>
                <a:endParaRPr lang="en-GB" sz="900" b="0" i="0" u="none" strike="noStrike" baseline="0">
                  <a:solidFill>
                    <a:srgbClr val="000000"/>
                  </a:solidFill>
                  <a:latin typeface="Calibri" pitchFamily="2" charset="0"/>
                  <a:cs typeface="Calibri" pitchFamily="2" charset="0"/>
                </a:endParaRPr>
              </a:p>
              <a:p>
                <a:pPr algn="ctr" rtl="0">
                  <a:defRPr sz="1000"/>
                </a:pPr>
                <a:r>
                  <a:rPr lang="en-GB" sz="900" b="0" i="0" u="none" strike="noStrike" baseline="0">
                    <a:solidFill>
                      <a:srgbClr val="000000"/>
                    </a:solidFill>
                    <a:latin typeface="Calibri" pitchFamily="2" charset="0"/>
                    <a:cs typeface="Calibri" pitchFamily="2" charset="0"/>
                  </a:rPr>
                  <a:t>efresh</a:t>
                </a:r>
              </a:p>
            </xdr:txBody>
          </xdr:sp>
        </xdr:grpSp>
        <xdr:clientData fLocksWithSheet="0"/>
      </xdr:twoCellAnchor>
    </mc:Choice>
    <mc:Fallback/>
  </mc:AlternateContent>
  <xdr:twoCellAnchor editAs="oneCell">
    <xdr:from>
      <xdr:col>9</xdr:col>
      <xdr:colOff>0</xdr:colOff>
      <xdr:row>1</xdr:row>
      <xdr:rowOff>57150</xdr:rowOff>
    </xdr:from>
    <xdr:to>
      <xdr:col>11</xdr:col>
      <xdr:colOff>358919</xdr:colOff>
      <xdr:row>1</xdr:row>
      <xdr:rowOff>302445</xdr:rowOff>
    </xdr:to>
    <xdr:grpSp>
      <xdr:nvGrpSpPr>
        <xdr:cNvPr id="6" name="Group 5">
          <a:extLst>
            <a:ext uri="{FF2B5EF4-FFF2-40B4-BE49-F238E27FC236}">
              <a16:creationId xmlns:a16="http://schemas.microsoft.com/office/drawing/2014/main" id="{00000000-0008-0000-0200-000006000000}"/>
            </a:ext>
          </a:extLst>
        </xdr:cNvPr>
        <xdr:cNvGrpSpPr>
          <a:grpSpLocks noChangeAspect="1"/>
        </xdr:cNvGrpSpPr>
      </xdr:nvGrpSpPr>
      <xdr:grpSpPr>
        <a:xfrm>
          <a:off x="6451600" y="251883"/>
          <a:ext cx="1730519" cy="245295"/>
          <a:chOff x="4426884" y="361143"/>
          <a:chExt cx="1370092" cy="242120"/>
        </a:xfrm>
      </xdr:grpSpPr>
      <xdr:sp macro="" textlink="" fLocksText="0">
        <xdr:nvSpPr>
          <xdr:cNvPr id="7" name="Rounded Rectangle 23">
            <a:extLst>
              <a:ext uri="{FF2B5EF4-FFF2-40B4-BE49-F238E27FC236}">
                <a16:creationId xmlns:a16="http://schemas.microsoft.com/office/drawing/2014/main" id="{00000000-0008-0000-0200-000007000000}"/>
              </a:ext>
            </a:extLst>
          </xdr:cNvPr>
          <xdr:cNvSpPr>
            <a:spLocks noChangeAspect="1"/>
          </xdr:cNvSpPr>
        </xdr:nvSpPr>
        <xdr:spPr>
          <a:xfrm>
            <a:off x="4426884" y="361143"/>
            <a:ext cx="1370092" cy="242120"/>
          </a:xfrm>
          <a:prstGeom prst="roundRect">
            <a:avLst/>
          </a:prstGeom>
          <a:solidFill>
            <a:schemeClr val="bg1">
              <a:lumMod val="95000"/>
            </a:schemeClr>
          </a:solidFill>
          <a:ln w="3175">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ctr"/>
            <a:endParaRPr lang="en-AU" sz="800" b="0">
              <a:solidFill>
                <a:sysClr val="windowText" lastClr="000000"/>
              </a:solidFill>
            </a:endParaRPr>
          </a:p>
        </xdr:txBody>
      </xdr:sp>
      <mc:AlternateContent xmlns:mc="http://schemas.openxmlformats.org/markup-compatibility/2006">
        <mc:Choice xmlns:a14="http://schemas.microsoft.com/office/drawing/2010/main" Requires="a14">
          <xdr:sp macro="" textlink="">
            <xdr:nvSpPr>
              <xdr:cNvPr id="19571" name="Button 115" descr="FX" hidden="1">
                <a:extLst>
                  <a:ext uri="{63B3BB69-23CF-44E3-9099-C40C66FF867C}">
                    <a14:compatExt spid="_x0000_s19571"/>
                  </a:ext>
                  <a:ext uri="{FF2B5EF4-FFF2-40B4-BE49-F238E27FC236}">
                    <a16:creationId xmlns:a16="http://schemas.microsoft.com/office/drawing/2014/main" id="{00000000-0008-0000-0200-0000734C0000}"/>
                  </a:ext>
                </a:extLst>
              </xdr:cNvPr>
              <xdr:cNvSpPr/>
            </xdr:nvSpPr>
            <xdr:spPr bwMode="auto">
              <a:xfrm>
                <a:off x="5577665" y="400050"/>
                <a:ext cx="180037" cy="161925"/>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900" b="0" i="0" u="none" strike="noStrike" baseline="0">
                    <a:solidFill>
                      <a:srgbClr val="000000"/>
                    </a:solidFill>
                    <a:latin typeface="Calibri" pitchFamily="2" charset="0"/>
                    <a:cs typeface="Calibri" pitchFamily="2" charset="0"/>
                  </a:rPr>
                  <a:t>FX</a:t>
                </a:r>
              </a:p>
            </xdr:txBody>
          </xdr:sp>
        </mc:Choice>
        <mc:Fallback/>
      </mc:AlternateContent>
      <mc:AlternateContent xmlns:mc="http://schemas.openxmlformats.org/markup-compatibility/2006">
        <mc:Choice xmlns:a14="http://schemas.microsoft.com/office/drawing/2010/main" Requires="a14">
          <xdr:sp macro="" textlink="">
            <xdr:nvSpPr>
              <xdr:cNvPr id="19572" name="Button 116" descr="Short" hidden="1">
                <a:extLst>
                  <a:ext uri="{63B3BB69-23CF-44E3-9099-C40C66FF867C}">
                    <a14:compatExt spid="_x0000_s19572"/>
                  </a:ext>
                  <a:ext uri="{FF2B5EF4-FFF2-40B4-BE49-F238E27FC236}">
                    <a16:creationId xmlns:a16="http://schemas.microsoft.com/office/drawing/2014/main" id="{00000000-0008-0000-0200-0000744C0000}"/>
                  </a:ext>
                </a:extLst>
              </xdr:cNvPr>
              <xdr:cNvSpPr/>
            </xdr:nvSpPr>
            <xdr:spPr bwMode="auto">
              <a:xfrm>
                <a:off x="5221679" y="400050"/>
                <a:ext cx="350598" cy="161925"/>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900" b="0" i="0" u="none" strike="noStrike" baseline="0">
                    <a:solidFill>
                      <a:srgbClr val="000000"/>
                    </a:solidFill>
                    <a:latin typeface="Calibri" pitchFamily="2" charset="0"/>
                    <a:cs typeface="Calibri" pitchFamily="2" charset="0"/>
                  </a:rPr>
                  <a:t>Short</a:t>
                </a:r>
              </a:p>
            </xdr:txBody>
          </xdr:sp>
        </mc:Choice>
        <mc:Fallback/>
      </mc:AlternateContent>
      <mc:AlternateContent xmlns:mc="http://schemas.openxmlformats.org/markup-compatibility/2006">
        <mc:Choice xmlns:a14="http://schemas.microsoft.com/office/drawing/2010/main" Requires="a14">
          <xdr:sp macro="" textlink="">
            <xdr:nvSpPr>
              <xdr:cNvPr id="19573" name="Button 117" descr="Long" hidden="1">
                <a:extLst>
                  <a:ext uri="{63B3BB69-23CF-44E3-9099-C40C66FF867C}">
                    <a14:compatExt spid="_x0000_s19573"/>
                  </a:ext>
                  <a:ext uri="{FF2B5EF4-FFF2-40B4-BE49-F238E27FC236}">
                    <a16:creationId xmlns:a16="http://schemas.microsoft.com/office/drawing/2014/main" id="{00000000-0008-0000-0200-0000754C0000}"/>
                  </a:ext>
                </a:extLst>
              </xdr:cNvPr>
              <xdr:cNvSpPr/>
            </xdr:nvSpPr>
            <xdr:spPr bwMode="auto">
              <a:xfrm>
                <a:off x="4903596" y="400050"/>
                <a:ext cx="312695" cy="161925"/>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900" b="0" i="0" u="none" strike="noStrike" baseline="0">
                    <a:solidFill>
                      <a:srgbClr val="000000"/>
                    </a:solidFill>
                    <a:latin typeface="Calibri" pitchFamily="2" charset="0"/>
                    <a:cs typeface="Calibri" pitchFamily="2" charset="0"/>
                  </a:rPr>
                  <a:t>Long</a:t>
                </a:r>
              </a:p>
            </xdr:txBody>
          </xdr:sp>
        </mc:Choice>
        <mc:Fallback/>
      </mc:AlternateContent>
      <mc:AlternateContent xmlns:mc="http://schemas.openxmlformats.org/markup-compatibility/2006">
        <mc:Choice xmlns:a14="http://schemas.microsoft.com/office/drawing/2010/main" Requires="a14">
          <xdr:sp macro="" textlink="">
            <xdr:nvSpPr>
              <xdr:cNvPr id="19574" name="Button 118" descr="Reorder" hidden="1">
                <a:extLst>
                  <a:ext uri="{63B3BB69-23CF-44E3-9099-C40C66FF867C}">
                    <a14:compatExt spid="_x0000_s19574"/>
                  </a:ext>
                  <a:ext uri="{FF2B5EF4-FFF2-40B4-BE49-F238E27FC236}">
                    <a16:creationId xmlns:a16="http://schemas.microsoft.com/office/drawing/2014/main" id="{00000000-0008-0000-0200-0000764C0000}"/>
                  </a:ext>
                </a:extLst>
              </xdr:cNvPr>
              <xdr:cNvSpPr/>
            </xdr:nvSpPr>
            <xdr:spPr bwMode="auto">
              <a:xfrm>
                <a:off x="4448767" y="400050"/>
                <a:ext cx="445354" cy="161925"/>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900" b="0" i="0" u="none" strike="noStrike" baseline="0">
                    <a:solidFill>
                      <a:srgbClr val="000000"/>
                    </a:solidFill>
                    <a:latin typeface="Calibri" pitchFamily="2" charset="0"/>
                    <a:cs typeface="Calibri" pitchFamily="2" charset="0"/>
                  </a:rPr>
                  <a:t>Refresh</a:t>
                </a:r>
              </a:p>
            </xdr:txBody>
          </xdr:sp>
        </mc:Choice>
        <mc:Fallback/>
      </mc:AlternateContent>
    </xdr:grpSp>
    <xdr:clientData/>
  </xdr:twoCellAnchor>
  <xdr:twoCellAnchor editAs="oneCell">
    <xdr:from>
      <xdr:col>13</xdr:col>
      <xdr:colOff>438150</xdr:colOff>
      <xdr:row>0</xdr:row>
      <xdr:rowOff>152400</xdr:rowOff>
    </xdr:from>
    <xdr:to>
      <xdr:col>16</xdr:col>
      <xdr:colOff>150538</xdr:colOff>
      <xdr:row>1</xdr:row>
      <xdr:rowOff>321949</xdr:rowOff>
    </xdr:to>
    <xdr:grpSp>
      <xdr:nvGrpSpPr>
        <xdr:cNvPr id="12" name="Group 11">
          <a:extLst>
            <a:ext uri="{FF2B5EF4-FFF2-40B4-BE49-F238E27FC236}">
              <a16:creationId xmlns:a16="http://schemas.microsoft.com/office/drawing/2014/main" id="{00000000-0008-0000-0200-00000C000000}"/>
            </a:ext>
          </a:extLst>
        </xdr:cNvPr>
        <xdr:cNvGrpSpPr/>
      </xdr:nvGrpSpPr>
      <xdr:grpSpPr>
        <a:xfrm>
          <a:off x="9658350" y="152400"/>
          <a:ext cx="1998388" cy="364282"/>
          <a:chOff x="5598125" y="289823"/>
          <a:chExt cx="1691206" cy="356874"/>
        </a:xfrm>
      </xdr:grpSpPr>
      <xdr:sp macro="" textlink="">
        <xdr:nvSpPr>
          <xdr:cNvPr id="13" name="Rounded Rectangle 10">
            <a:extLst>
              <a:ext uri="{FF2B5EF4-FFF2-40B4-BE49-F238E27FC236}">
                <a16:creationId xmlns:a16="http://schemas.microsoft.com/office/drawing/2014/main" id="{00000000-0008-0000-0200-00000D000000}"/>
              </a:ext>
            </a:extLst>
          </xdr:cNvPr>
          <xdr:cNvSpPr/>
        </xdr:nvSpPr>
        <xdr:spPr>
          <a:xfrm>
            <a:off x="5598125" y="432955"/>
            <a:ext cx="1691206" cy="213742"/>
          </a:xfrm>
          <a:prstGeom prst="roundRect">
            <a:avLst/>
          </a:prstGeom>
          <a:solidFill>
            <a:schemeClr val="bg1">
              <a:lumMod val="95000"/>
            </a:schemeClr>
          </a:solidFill>
          <a:ln w="3175">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ctr"/>
            <a:endParaRPr lang="en-AU" sz="800" b="0">
              <a:solidFill>
                <a:sysClr val="windowText" lastClr="000000"/>
              </a:solidFill>
            </a:endParaRPr>
          </a:p>
        </xdr:txBody>
      </xdr:sp>
      <mc:AlternateContent xmlns:mc="http://schemas.openxmlformats.org/markup-compatibility/2006">
        <mc:Choice xmlns:a14="http://schemas.microsoft.com/office/drawing/2010/main" Requires="a14">
          <xdr:sp macro="" textlink="">
            <xdr:nvSpPr>
              <xdr:cNvPr id="19575" name="Button 119" hidden="1">
                <a:extLst>
                  <a:ext uri="{63B3BB69-23CF-44E3-9099-C40C66FF867C}">
                    <a14:compatExt spid="_x0000_s19575"/>
                  </a:ext>
                  <a:ext uri="{FF2B5EF4-FFF2-40B4-BE49-F238E27FC236}">
                    <a16:creationId xmlns:a16="http://schemas.microsoft.com/office/drawing/2014/main" id="{00000000-0008-0000-0200-0000774C0000}"/>
                  </a:ext>
                </a:extLst>
              </xdr:cNvPr>
              <xdr:cNvSpPr/>
            </xdr:nvSpPr>
            <xdr:spPr bwMode="auto">
              <a:xfrm>
                <a:off x="5621374" y="457200"/>
                <a:ext cx="401095" cy="161925"/>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900" b="0" i="0" u="none" strike="noStrike" baseline="0">
                    <a:solidFill>
                      <a:srgbClr val="000000"/>
                    </a:solidFill>
                    <a:latin typeface="Calibri" pitchFamily="2" charset="0"/>
                    <a:cs typeface="Calibri" pitchFamily="2" charset="0"/>
                  </a:rPr>
                  <a:t>Today Buys</a:t>
                </a:r>
              </a:p>
            </xdr:txBody>
          </xdr:sp>
        </mc:Choice>
        <mc:Fallback/>
      </mc:AlternateContent>
      <mc:AlternateContent xmlns:mc="http://schemas.openxmlformats.org/markup-compatibility/2006">
        <mc:Choice xmlns:a14="http://schemas.microsoft.com/office/drawing/2010/main" Requires="a14">
          <xdr:sp macro="" textlink="">
            <xdr:nvSpPr>
              <xdr:cNvPr id="19576" name="Button 120" descr="This Month" hidden="1">
                <a:extLst>
                  <a:ext uri="{63B3BB69-23CF-44E3-9099-C40C66FF867C}">
                    <a14:compatExt spid="_x0000_s19576"/>
                  </a:ext>
                  <a:ext uri="{FF2B5EF4-FFF2-40B4-BE49-F238E27FC236}">
                    <a16:creationId xmlns:a16="http://schemas.microsoft.com/office/drawing/2014/main" id="{00000000-0008-0000-0200-0000784C0000}"/>
                  </a:ext>
                </a:extLst>
              </xdr:cNvPr>
              <xdr:cNvSpPr/>
            </xdr:nvSpPr>
            <xdr:spPr bwMode="auto">
              <a:xfrm>
                <a:off x="6031994" y="457200"/>
                <a:ext cx="607547" cy="161925"/>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900" b="0" i="0" u="none" strike="noStrike" baseline="0">
                    <a:solidFill>
                      <a:srgbClr val="000000"/>
                    </a:solidFill>
                    <a:latin typeface="Calibri" pitchFamily="2" charset="0"/>
                    <a:cs typeface="Calibri" pitchFamily="2" charset="0"/>
                  </a:rPr>
                  <a:t>This Month</a:t>
                </a:r>
              </a:p>
              <a:p>
                <a:pPr algn="ctr" rtl="0">
                  <a:defRPr sz="1000"/>
                </a:pPr>
                <a:r>
                  <a:rPr lang="en-GB" sz="900" b="0" i="0" u="none" strike="noStrike" baseline="0">
                    <a:solidFill>
                      <a:srgbClr val="000000"/>
                    </a:solidFill>
                    <a:latin typeface="Calibri" pitchFamily="2" charset="0"/>
                    <a:cs typeface="Calibri" pitchFamily="2" charset="0"/>
                  </a:rPr>
                  <a:t>ton 28</a:t>
                </a:r>
              </a:p>
            </xdr:txBody>
          </xdr:sp>
        </mc:Choice>
        <mc:Fallback/>
      </mc:AlternateContent>
      <mc:AlternateContent xmlns:mc="http://schemas.openxmlformats.org/markup-compatibility/2006">
        <mc:Choice xmlns:a14="http://schemas.microsoft.com/office/drawing/2010/main" Requires="a14">
          <xdr:sp macro="" textlink="">
            <xdr:nvSpPr>
              <xdr:cNvPr id="19577" name="Button 121" descr="Last Month" hidden="1">
                <a:extLst>
                  <a:ext uri="{63B3BB69-23CF-44E3-9099-C40C66FF867C}">
                    <a14:compatExt spid="_x0000_s19577"/>
                  </a:ext>
                  <a:ext uri="{FF2B5EF4-FFF2-40B4-BE49-F238E27FC236}">
                    <a16:creationId xmlns:a16="http://schemas.microsoft.com/office/drawing/2014/main" id="{00000000-0008-0000-0200-0000794C0000}"/>
                  </a:ext>
                </a:extLst>
              </xdr:cNvPr>
              <xdr:cNvSpPr/>
            </xdr:nvSpPr>
            <xdr:spPr bwMode="auto">
              <a:xfrm>
                <a:off x="6648739" y="457200"/>
                <a:ext cx="607958" cy="161925"/>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900" b="0" i="0" u="none" strike="noStrike" baseline="0">
                    <a:solidFill>
                      <a:srgbClr val="000000"/>
                    </a:solidFill>
                    <a:latin typeface="Calibri" pitchFamily="2" charset="0"/>
                    <a:cs typeface="Calibri" pitchFamily="2" charset="0"/>
                  </a:rPr>
                  <a:t>Last Month</a:t>
                </a:r>
              </a:p>
              <a:p>
                <a:pPr algn="ctr" rtl="0">
                  <a:defRPr sz="1000"/>
                </a:pPr>
                <a:endParaRPr lang="en-GB" sz="900" b="0" i="0" u="none" strike="noStrike" baseline="0">
                  <a:solidFill>
                    <a:srgbClr val="000000"/>
                  </a:solidFill>
                  <a:latin typeface="Calibri" pitchFamily="2" charset="0"/>
                  <a:cs typeface="Calibri" pitchFamily="2" charset="0"/>
                </a:endParaRPr>
              </a:p>
            </xdr:txBody>
          </xdr:sp>
        </mc:Choice>
        <mc:Fallback/>
      </mc:AlternateContent>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6133652" y="289823"/>
            <a:ext cx="472528" cy="17894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AU" sz="800" strike="noStrike" cap="none" baseline="0"/>
              <a:t>ENTRY</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20</xdr:col>
      <xdr:colOff>161925</xdr:colOff>
      <xdr:row>0</xdr:row>
      <xdr:rowOff>104775</xdr:rowOff>
    </xdr:from>
    <xdr:to>
      <xdr:col>23</xdr:col>
      <xdr:colOff>254000</xdr:colOff>
      <xdr:row>1</xdr:row>
      <xdr:rowOff>191558</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230225" y="104775"/>
          <a:ext cx="2206625" cy="277283"/>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47625</xdr:colOff>
          <xdr:row>1</xdr:row>
          <xdr:rowOff>304800</xdr:rowOff>
        </xdr:from>
        <xdr:to>
          <xdr:col>2</xdr:col>
          <xdr:colOff>338800</xdr:colOff>
          <xdr:row>5</xdr:row>
          <xdr:rowOff>211829</xdr:rowOff>
        </xdr:to>
        <xdr:grpSp>
          <xdr:nvGrpSpPr>
            <xdr:cNvPr id="21" name="Group 20">
              <a:extLst>
                <a:ext uri="{FF2B5EF4-FFF2-40B4-BE49-F238E27FC236}">
                  <a16:creationId xmlns:a16="http://schemas.microsoft.com/office/drawing/2014/main" id="{00000000-0008-0000-0300-000015000000}"/>
                </a:ext>
              </a:extLst>
            </xdr:cNvPr>
            <xdr:cNvGrpSpPr/>
          </xdr:nvGrpSpPr>
          <xdr:grpSpPr>
            <a:xfrm>
              <a:off x="1317625" y="495300"/>
              <a:ext cx="291175" cy="288029"/>
              <a:chOff x="1000125" y="495328"/>
              <a:chExt cx="288000" cy="288039"/>
            </a:xfrm>
          </xdr:grpSpPr>
          <xdr:sp macro="" textlink="">
            <xdr:nvSpPr>
              <xdr:cNvPr id="20528" name="Button 48" descr="Reorder" hidden="1">
                <a:extLst>
                  <a:ext uri="{63B3BB69-23CF-44E3-9099-C40C66FF867C}">
                    <a14:compatExt spid="_x0000_s20528"/>
                  </a:ext>
                  <a:ext uri="{FF2B5EF4-FFF2-40B4-BE49-F238E27FC236}">
                    <a16:creationId xmlns:a16="http://schemas.microsoft.com/office/drawing/2014/main" id="{00000000-0008-0000-0300-000030500000}"/>
                  </a:ext>
                </a:extLst>
              </xdr:cNvPr>
              <xdr:cNvSpPr/>
            </xdr:nvSpPr>
            <xdr:spPr bwMode="auto">
              <a:xfrm>
                <a:off x="1000125" y="639362"/>
                <a:ext cx="288000" cy="144005"/>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900" b="0" i="0" u="none" strike="noStrike" baseline="0">
                    <a:solidFill>
                      <a:srgbClr val="000000"/>
                    </a:solidFill>
                    <a:latin typeface="Calibri" pitchFamily="2" charset="0"/>
                    <a:cs typeface="Calibri" pitchFamily="2" charset="0"/>
                  </a:rPr>
                  <a:t>USD</a:t>
                </a:r>
              </a:p>
              <a:p>
                <a:pPr algn="ctr" rtl="0">
                  <a:defRPr sz="1000"/>
                </a:pPr>
                <a:endParaRPr lang="en-GB" sz="900" b="0" i="0" u="none" strike="noStrike" baseline="0">
                  <a:solidFill>
                    <a:srgbClr val="000000"/>
                  </a:solidFill>
                  <a:latin typeface="Calibri" pitchFamily="2" charset="0"/>
                  <a:cs typeface="Calibri" pitchFamily="2" charset="0"/>
                </a:endParaRPr>
              </a:p>
              <a:p>
                <a:pPr algn="ctr" rtl="0">
                  <a:defRPr sz="1000"/>
                </a:pPr>
                <a:r>
                  <a:rPr lang="en-GB" sz="900" b="0" i="0" u="none" strike="noStrike" baseline="0">
                    <a:solidFill>
                      <a:srgbClr val="000000"/>
                    </a:solidFill>
                    <a:latin typeface="Calibri" pitchFamily="2" charset="0"/>
                    <a:cs typeface="Calibri" pitchFamily="2" charset="0"/>
                  </a:rPr>
                  <a:t>efresh</a:t>
                </a:r>
              </a:p>
            </xdr:txBody>
          </xdr:sp>
          <xdr:sp macro="" textlink="">
            <xdr:nvSpPr>
              <xdr:cNvPr id="20529" name="Button 49" descr="Reorder" hidden="1">
                <a:extLst>
                  <a:ext uri="{63B3BB69-23CF-44E3-9099-C40C66FF867C}">
                    <a14:compatExt spid="_x0000_s20529"/>
                  </a:ext>
                  <a:ext uri="{FF2B5EF4-FFF2-40B4-BE49-F238E27FC236}">
                    <a16:creationId xmlns:a16="http://schemas.microsoft.com/office/drawing/2014/main" id="{00000000-0008-0000-0300-000031500000}"/>
                  </a:ext>
                </a:extLst>
              </xdr:cNvPr>
              <xdr:cNvSpPr/>
            </xdr:nvSpPr>
            <xdr:spPr bwMode="auto">
              <a:xfrm>
                <a:off x="1000125" y="495328"/>
                <a:ext cx="288000" cy="14287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900" b="0" i="0" u="none" strike="noStrike" baseline="0">
                    <a:solidFill>
                      <a:srgbClr val="000000"/>
                    </a:solidFill>
                    <a:latin typeface="Calibri" pitchFamily="2" charset="0"/>
                    <a:cs typeface="Calibri" pitchFamily="2" charset="0"/>
                  </a:rPr>
                  <a:t>Base</a:t>
                </a:r>
              </a:p>
              <a:p>
                <a:pPr algn="ctr" rtl="0">
                  <a:defRPr sz="1000"/>
                </a:pPr>
                <a:endParaRPr lang="en-GB" sz="900" b="0" i="0" u="none" strike="noStrike" baseline="0">
                  <a:solidFill>
                    <a:srgbClr val="000000"/>
                  </a:solidFill>
                  <a:latin typeface="Calibri" pitchFamily="2" charset="0"/>
                  <a:cs typeface="Calibri" pitchFamily="2" charset="0"/>
                </a:endParaRPr>
              </a:p>
              <a:p>
                <a:pPr algn="ctr" rtl="0">
                  <a:defRPr sz="1000"/>
                </a:pPr>
                <a:endParaRPr lang="en-GB" sz="900" b="0" i="0" u="none" strike="noStrike" baseline="0">
                  <a:solidFill>
                    <a:srgbClr val="000000"/>
                  </a:solidFill>
                  <a:latin typeface="Calibri" pitchFamily="2" charset="0"/>
                  <a:cs typeface="Calibri" pitchFamily="2" charset="0"/>
                </a:endParaRPr>
              </a:p>
              <a:p>
                <a:pPr algn="ctr" rtl="0">
                  <a:defRPr sz="1000"/>
                </a:pPr>
                <a:r>
                  <a:rPr lang="en-GB" sz="900" b="0" i="0" u="none" strike="noStrike" baseline="0">
                    <a:solidFill>
                      <a:srgbClr val="000000"/>
                    </a:solidFill>
                    <a:latin typeface="Calibri" pitchFamily="2" charset="0"/>
                    <a:cs typeface="Calibri" pitchFamily="2" charset="0"/>
                  </a:rPr>
                  <a:t>efresh</a:t>
                </a:r>
              </a:p>
            </xdr:txBody>
          </xdr:sp>
        </xdr:grpSp>
        <xdr:clientData fLocksWithSheet="0"/>
      </xdr:twoCellAnchor>
    </mc:Choice>
    <mc:Fallback/>
  </mc:AlternateContent>
  <xdr:twoCellAnchor editAs="oneCell">
    <xdr:from>
      <xdr:col>8</xdr:col>
      <xdr:colOff>685800</xdr:colOff>
      <xdr:row>1</xdr:row>
      <xdr:rowOff>47625</xdr:rowOff>
    </xdr:from>
    <xdr:to>
      <xdr:col>11</xdr:col>
      <xdr:colOff>128730</xdr:colOff>
      <xdr:row>1</xdr:row>
      <xdr:rowOff>289745</xdr:rowOff>
    </xdr:to>
    <xdr:grpSp>
      <xdr:nvGrpSpPr>
        <xdr:cNvPr id="18" name="Group 17">
          <a:extLst>
            <a:ext uri="{FF2B5EF4-FFF2-40B4-BE49-F238E27FC236}">
              <a16:creationId xmlns:a16="http://schemas.microsoft.com/office/drawing/2014/main" id="{00000000-0008-0000-0300-000012000000}"/>
            </a:ext>
          </a:extLst>
        </xdr:cNvPr>
        <xdr:cNvGrpSpPr>
          <a:grpSpLocks noChangeAspect="1"/>
        </xdr:cNvGrpSpPr>
      </xdr:nvGrpSpPr>
      <xdr:grpSpPr>
        <a:xfrm>
          <a:off x="6273800" y="238125"/>
          <a:ext cx="1881330" cy="242120"/>
          <a:chOff x="4426884" y="361143"/>
          <a:chExt cx="1370092" cy="242120"/>
        </a:xfrm>
      </xdr:grpSpPr>
      <xdr:sp macro="" textlink="" fLocksText="0">
        <xdr:nvSpPr>
          <xdr:cNvPr id="19" name="Rounded Rectangle 23">
            <a:extLst>
              <a:ext uri="{FF2B5EF4-FFF2-40B4-BE49-F238E27FC236}">
                <a16:creationId xmlns:a16="http://schemas.microsoft.com/office/drawing/2014/main" id="{00000000-0008-0000-0300-000013000000}"/>
              </a:ext>
            </a:extLst>
          </xdr:cNvPr>
          <xdr:cNvSpPr>
            <a:spLocks noChangeAspect="1"/>
          </xdr:cNvSpPr>
        </xdr:nvSpPr>
        <xdr:spPr>
          <a:xfrm>
            <a:off x="4426884" y="361143"/>
            <a:ext cx="1370092" cy="242120"/>
          </a:xfrm>
          <a:prstGeom prst="roundRect">
            <a:avLst/>
          </a:prstGeom>
          <a:solidFill>
            <a:schemeClr val="bg1">
              <a:lumMod val="95000"/>
            </a:schemeClr>
          </a:solidFill>
          <a:ln w="3175">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ctr"/>
            <a:endParaRPr lang="en-AU" sz="800" b="0">
              <a:solidFill>
                <a:sysClr val="windowText" lastClr="000000"/>
              </a:solidFill>
            </a:endParaRPr>
          </a:p>
        </xdr:txBody>
      </xdr:sp>
      <mc:AlternateContent xmlns:mc="http://schemas.openxmlformats.org/markup-compatibility/2006">
        <mc:Choice xmlns:a14="http://schemas.microsoft.com/office/drawing/2010/main" Requires="a14">
          <xdr:sp macro="" textlink="">
            <xdr:nvSpPr>
              <xdr:cNvPr id="20530" name="Button 50" descr="FX" hidden="1">
                <a:extLst>
                  <a:ext uri="{63B3BB69-23CF-44E3-9099-C40C66FF867C}">
                    <a14:compatExt spid="_x0000_s20530"/>
                  </a:ext>
                  <a:ext uri="{FF2B5EF4-FFF2-40B4-BE49-F238E27FC236}">
                    <a16:creationId xmlns:a16="http://schemas.microsoft.com/office/drawing/2014/main" id="{00000000-0008-0000-0300-000032500000}"/>
                  </a:ext>
                </a:extLst>
              </xdr:cNvPr>
              <xdr:cNvSpPr/>
            </xdr:nvSpPr>
            <xdr:spPr bwMode="auto">
              <a:xfrm>
                <a:off x="5577665" y="400050"/>
                <a:ext cx="180037" cy="161925"/>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900" b="0" i="0" u="none" strike="noStrike" baseline="0">
                    <a:solidFill>
                      <a:srgbClr val="000000"/>
                    </a:solidFill>
                    <a:latin typeface="Calibri" pitchFamily="2" charset="0"/>
                    <a:cs typeface="Calibri" pitchFamily="2" charset="0"/>
                  </a:rPr>
                  <a:t>FX</a:t>
                </a:r>
              </a:p>
            </xdr:txBody>
          </xdr:sp>
        </mc:Choice>
        <mc:Fallback/>
      </mc:AlternateContent>
      <mc:AlternateContent xmlns:mc="http://schemas.openxmlformats.org/markup-compatibility/2006">
        <mc:Choice xmlns:a14="http://schemas.microsoft.com/office/drawing/2010/main" Requires="a14">
          <xdr:sp macro="" textlink="">
            <xdr:nvSpPr>
              <xdr:cNvPr id="20531" name="Button 51" descr="Short" hidden="1">
                <a:extLst>
                  <a:ext uri="{63B3BB69-23CF-44E3-9099-C40C66FF867C}">
                    <a14:compatExt spid="_x0000_s20531"/>
                  </a:ext>
                  <a:ext uri="{FF2B5EF4-FFF2-40B4-BE49-F238E27FC236}">
                    <a16:creationId xmlns:a16="http://schemas.microsoft.com/office/drawing/2014/main" id="{00000000-0008-0000-0300-000033500000}"/>
                  </a:ext>
                </a:extLst>
              </xdr:cNvPr>
              <xdr:cNvSpPr/>
            </xdr:nvSpPr>
            <xdr:spPr bwMode="auto">
              <a:xfrm>
                <a:off x="5221679" y="400050"/>
                <a:ext cx="350598" cy="161925"/>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900" b="0" i="0" u="none" strike="noStrike" baseline="0">
                    <a:solidFill>
                      <a:srgbClr val="000000"/>
                    </a:solidFill>
                    <a:latin typeface="Calibri" pitchFamily="2" charset="0"/>
                    <a:cs typeface="Calibri" pitchFamily="2" charset="0"/>
                  </a:rPr>
                  <a:t>Short</a:t>
                </a:r>
              </a:p>
            </xdr:txBody>
          </xdr:sp>
        </mc:Choice>
        <mc:Fallback/>
      </mc:AlternateContent>
      <mc:AlternateContent xmlns:mc="http://schemas.openxmlformats.org/markup-compatibility/2006">
        <mc:Choice xmlns:a14="http://schemas.microsoft.com/office/drawing/2010/main" Requires="a14">
          <xdr:sp macro="" textlink="">
            <xdr:nvSpPr>
              <xdr:cNvPr id="20532" name="Button 52" descr="Long" hidden="1">
                <a:extLst>
                  <a:ext uri="{63B3BB69-23CF-44E3-9099-C40C66FF867C}">
                    <a14:compatExt spid="_x0000_s20532"/>
                  </a:ext>
                  <a:ext uri="{FF2B5EF4-FFF2-40B4-BE49-F238E27FC236}">
                    <a16:creationId xmlns:a16="http://schemas.microsoft.com/office/drawing/2014/main" id="{00000000-0008-0000-0300-000034500000}"/>
                  </a:ext>
                </a:extLst>
              </xdr:cNvPr>
              <xdr:cNvSpPr/>
            </xdr:nvSpPr>
            <xdr:spPr bwMode="auto">
              <a:xfrm>
                <a:off x="4903596" y="400050"/>
                <a:ext cx="312695" cy="161925"/>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900" b="0" i="0" u="none" strike="noStrike" baseline="0">
                    <a:solidFill>
                      <a:srgbClr val="000000"/>
                    </a:solidFill>
                    <a:latin typeface="Calibri" pitchFamily="2" charset="0"/>
                    <a:cs typeface="Calibri" pitchFamily="2" charset="0"/>
                  </a:rPr>
                  <a:t>Long</a:t>
                </a:r>
              </a:p>
            </xdr:txBody>
          </xdr:sp>
        </mc:Choice>
        <mc:Fallback/>
      </mc:AlternateContent>
      <mc:AlternateContent xmlns:mc="http://schemas.openxmlformats.org/markup-compatibility/2006">
        <mc:Choice xmlns:a14="http://schemas.microsoft.com/office/drawing/2010/main" Requires="a14">
          <xdr:sp macro="" textlink="">
            <xdr:nvSpPr>
              <xdr:cNvPr id="20533" name="Button 53" descr="Reorder" hidden="1">
                <a:extLst>
                  <a:ext uri="{63B3BB69-23CF-44E3-9099-C40C66FF867C}">
                    <a14:compatExt spid="_x0000_s20533"/>
                  </a:ext>
                  <a:ext uri="{FF2B5EF4-FFF2-40B4-BE49-F238E27FC236}">
                    <a16:creationId xmlns:a16="http://schemas.microsoft.com/office/drawing/2014/main" id="{00000000-0008-0000-0300-000035500000}"/>
                  </a:ext>
                </a:extLst>
              </xdr:cNvPr>
              <xdr:cNvSpPr/>
            </xdr:nvSpPr>
            <xdr:spPr bwMode="auto">
              <a:xfrm>
                <a:off x="4448767" y="400050"/>
                <a:ext cx="445354" cy="161925"/>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900" b="0" i="0" u="none" strike="noStrike" baseline="0">
                    <a:solidFill>
                      <a:srgbClr val="000000"/>
                    </a:solidFill>
                    <a:latin typeface="Calibri" pitchFamily="2" charset="0"/>
                    <a:cs typeface="Calibri" pitchFamily="2" charset="0"/>
                  </a:rPr>
                  <a:t>Refresh</a:t>
                </a:r>
              </a:p>
            </xdr:txBody>
          </xdr:sp>
        </mc:Choice>
        <mc:Fallback/>
      </mc:AlternateContent>
    </xdr:grpSp>
    <xdr:clientData/>
  </xdr:twoCellAnchor>
  <xdr:twoCellAnchor editAs="oneCell">
    <xdr:from>
      <xdr:col>13</xdr:col>
      <xdr:colOff>381000</xdr:colOff>
      <xdr:row>0</xdr:row>
      <xdr:rowOff>133350</xdr:rowOff>
    </xdr:from>
    <xdr:to>
      <xdr:col>15</xdr:col>
      <xdr:colOff>667608</xdr:colOff>
      <xdr:row>1</xdr:row>
      <xdr:rowOff>302985</xdr:rowOff>
    </xdr:to>
    <xdr:grpSp>
      <xdr:nvGrpSpPr>
        <xdr:cNvPr id="24" name="Group 23">
          <a:extLst>
            <a:ext uri="{FF2B5EF4-FFF2-40B4-BE49-F238E27FC236}">
              <a16:creationId xmlns:a16="http://schemas.microsoft.com/office/drawing/2014/main" id="{00000000-0008-0000-0300-000018000000}"/>
            </a:ext>
          </a:extLst>
        </xdr:cNvPr>
        <xdr:cNvGrpSpPr/>
      </xdr:nvGrpSpPr>
      <xdr:grpSpPr>
        <a:xfrm>
          <a:off x="9855200" y="133350"/>
          <a:ext cx="1912208" cy="360135"/>
          <a:chOff x="5598125" y="289823"/>
          <a:chExt cx="1691206" cy="356874"/>
        </a:xfrm>
      </xdr:grpSpPr>
      <xdr:sp macro="" textlink="">
        <xdr:nvSpPr>
          <xdr:cNvPr id="25" name="Rounded Rectangle 10">
            <a:extLst>
              <a:ext uri="{FF2B5EF4-FFF2-40B4-BE49-F238E27FC236}">
                <a16:creationId xmlns:a16="http://schemas.microsoft.com/office/drawing/2014/main" id="{00000000-0008-0000-0300-000019000000}"/>
              </a:ext>
            </a:extLst>
          </xdr:cNvPr>
          <xdr:cNvSpPr/>
        </xdr:nvSpPr>
        <xdr:spPr>
          <a:xfrm>
            <a:off x="5598125" y="432955"/>
            <a:ext cx="1691206" cy="213742"/>
          </a:xfrm>
          <a:prstGeom prst="roundRect">
            <a:avLst/>
          </a:prstGeom>
          <a:solidFill>
            <a:schemeClr val="bg1">
              <a:lumMod val="95000"/>
            </a:schemeClr>
          </a:solidFill>
          <a:ln w="3175">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ctr"/>
            <a:endParaRPr lang="en-AU" sz="800" b="0">
              <a:solidFill>
                <a:sysClr val="windowText" lastClr="000000"/>
              </a:solidFill>
            </a:endParaRPr>
          </a:p>
        </xdr:txBody>
      </xdr:sp>
      <mc:AlternateContent xmlns:mc="http://schemas.openxmlformats.org/markup-compatibility/2006">
        <mc:Choice xmlns:a14="http://schemas.microsoft.com/office/drawing/2010/main" Requires="a14">
          <xdr:sp macro="" textlink="">
            <xdr:nvSpPr>
              <xdr:cNvPr id="20534" name="Button 54" hidden="1">
                <a:extLst>
                  <a:ext uri="{63B3BB69-23CF-44E3-9099-C40C66FF867C}">
                    <a14:compatExt spid="_x0000_s20534"/>
                  </a:ext>
                  <a:ext uri="{FF2B5EF4-FFF2-40B4-BE49-F238E27FC236}">
                    <a16:creationId xmlns:a16="http://schemas.microsoft.com/office/drawing/2014/main" id="{00000000-0008-0000-0300-000036500000}"/>
                  </a:ext>
                </a:extLst>
              </xdr:cNvPr>
              <xdr:cNvSpPr/>
            </xdr:nvSpPr>
            <xdr:spPr bwMode="auto">
              <a:xfrm>
                <a:off x="5621374" y="457200"/>
                <a:ext cx="401095" cy="161925"/>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900" b="0" i="0" u="none" strike="noStrike" baseline="0">
                    <a:solidFill>
                      <a:srgbClr val="000000"/>
                    </a:solidFill>
                    <a:latin typeface="Calibri" pitchFamily="2" charset="0"/>
                    <a:cs typeface="Calibri" pitchFamily="2" charset="0"/>
                  </a:rPr>
                  <a:t>Today Buys</a:t>
                </a:r>
              </a:p>
            </xdr:txBody>
          </xdr:sp>
        </mc:Choice>
        <mc:Fallback/>
      </mc:AlternateContent>
      <mc:AlternateContent xmlns:mc="http://schemas.openxmlformats.org/markup-compatibility/2006">
        <mc:Choice xmlns:a14="http://schemas.microsoft.com/office/drawing/2010/main" Requires="a14">
          <xdr:sp macro="" textlink="">
            <xdr:nvSpPr>
              <xdr:cNvPr id="20535" name="Button 55" descr="This Month" hidden="1">
                <a:extLst>
                  <a:ext uri="{63B3BB69-23CF-44E3-9099-C40C66FF867C}">
                    <a14:compatExt spid="_x0000_s20535"/>
                  </a:ext>
                  <a:ext uri="{FF2B5EF4-FFF2-40B4-BE49-F238E27FC236}">
                    <a16:creationId xmlns:a16="http://schemas.microsoft.com/office/drawing/2014/main" id="{00000000-0008-0000-0300-000037500000}"/>
                  </a:ext>
                </a:extLst>
              </xdr:cNvPr>
              <xdr:cNvSpPr/>
            </xdr:nvSpPr>
            <xdr:spPr bwMode="auto">
              <a:xfrm>
                <a:off x="6031994" y="457200"/>
                <a:ext cx="607547" cy="161925"/>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900" b="0" i="0" u="none" strike="noStrike" baseline="0">
                    <a:solidFill>
                      <a:srgbClr val="000000"/>
                    </a:solidFill>
                    <a:latin typeface="Calibri" pitchFamily="2" charset="0"/>
                    <a:cs typeface="Calibri" pitchFamily="2" charset="0"/>
                  </a:rPr>
                  <a:t>This Month</a:t>
                </a:r>
              </a:p>
              <a:p>
                <a:pPr algn="ctr" rtl="0">
                  <a:defRPr sz="1000"/>
                </a:pPr>
                <a:r>
                  <a:rPr lang="en-GB" sz="900" b="0" i="0" u="none" strike="noStrike" baseline="0">
                    <a:solidFill>
                      <a:srgbClr val="000000"/>
                    </a:solidFill>
                    <a:latin typeface="Calibri" pitchFamily="2" charset="0"/>
                    <a:cs typeface="Calibri" pitchFamily="2" charset="0"/>
                  </a:rPr>
                  <a:t>ton 28</a:t>
                </a:r>
              </a:p>
            </xdr:txBody>
          </xdr:sp>
        </mc:Choice>
        <mc:Fallback/>
      </mc:AlternateContent>
      <mc:AlternateContent xmlns:mc="http://schemas.openxmlformats.org/markup-compatibility/2006">
        <mc:Choice xmlns:a14="http://schemas.microsoft.com/office/drawing/2010/main" Requires="a14">
          <xdr:sp macro="" textlink="">
            <xdr:nvSpPr>
              <xdr:cNvPr id="20536" name="Button 56" descr="Last Month" hidden="1">
                <a:extLst>
                  <a:ext uri="{63B3BB69-23CF-44E3-9099-C40C66FF867C}">
                    <a14:compatExt spid="_x0000_s20536"/>
                  </a:ext>
                  <a:ext uri="{FF2B5EF4-FFF2-40B4-BE49-F238E27FC236}">
                    <a16:creationId xmlns:a16="http://schemas.microsoft.com/office/drawing/2014/main" id="{00000000-0008-0000-0300-000038500000}"/>
                  </a:ext>
                </a:extLst>
              </xdr:cNvPr>
              <xdr:cNvSpPr/>
            </xdr:nvSpPr>
            <xdr:spPr bwMode="auto">
              <a:xfrm>
                <a:off x="6648739" y="457200"/>
                <a:ext cx="607958" cy="161925"/>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900" b="0" i="0" u="none" strike="noStrike" baseline="0">
                    <a:solidFill>
                      <a:srgbClr val="000000"/>
                    </a:solidFill>
                    <a:latin typeface="Calibri" pitchFamily="2" charset="0"/>
                    <a:cs typeface="Calibri" pitchFamily="2" charset="0"/>
                  </a:rPr>
                  <a:t>Last Month</a:t>
                </a:r>
              </a:p>
              <a:p>
                <a:pPr algn="ctr" rtl="0">
                  <a:defRPr sz="1000"/>
                </a:pPr>
                <a:endParaRPr lang="en-GB" sz="900" b="0" i="0" u="none" strike="noStrike" baseline="0">
                  <a:solidFill>
                    <a:srgbClr val="000000"/>
                  </a:solidFill>
                  <a:latin typeface="Calibri" pitchFamily="2" charset="0"/>
                  <a:cs typeface="Calibri" pitchFamily="2" charset="0"/>
                </a:endParaRPr>
              </a:p>
            </xdr:txBody>
          </xdr:sp>
        </mc:Choice>
        <mc:Fallback/>
      </mc:AlternateContent>
      <xdr:sp macro="" textlink="">
        <xdr:nvSpPr>
          <xdr:cNvPr id="29" name="TextBox 28">
            <a:extLst>
              <a:ext uri="{FF2B5EF4-FFF2-40B4-BE49-F238E27FC236}">
                <a16:creationId xmlns:a16="http://schemas.microsoft.com/office/drawing/2014/main" id="{00000000-0008-0000-0300-00001D000000}"/>
              </a:ext>
            </a:extLst>
          </xdr:cNvPr>
          <xdr:cNvSpPr txBox="1"/>
        </xdr:nvSpPr>
        <xdr:spPr>
          <a:xfrm>
            <a:off x="6133652" y="289823"/>
            <a:ext cx="472528" cy="17894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AU" sz="800" strike="noStrike" cap="none" baseline="0"/>
              <a:t>EXIT</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36</xdr:col>
      <xdr:colOff>304796</xdr:colOff>
      <xdr:row>3</xdr:row>
      <xdr:rowOff>0</xdr:rowOff>
    </xdr:from>
    <xdr:to>
      <xdr:col>37</xdr:col>
      <xdr:colOff>380998</xdr:colOff>
      <xdr:row>4</xdr:row>
      <xdr:rowOff>38100</xdr:rowOff>
    </xdr:to>
    <xdr:sp macro="" textlink="">
      <xdr:nvSpPr>
        <xdr:cNvPr id="2" name="Speech Bubble: Rectangle with Corners Rounded 1">
          <a:extLst>
            <a:ext uri="{FF2B5EF4-FFF2-40B4-BE49-F238E27FC236}">
              <a16:creationId xmlns:a16="http://schemas.microsoft.com/office/drawing/2014/main" id="{93393CDB-E94B-40E4-99E8-22AF2B59FA28}"/>
            </a:ext>
          </a:extLst>
        </xdr:cNvPr>
        <xdr:cNvSpPr/>
      </xdr:nvSpPr>
      <xdr:spPr>
        <a:xfrm flipH="1">
          <a:off x="12682534" y="581025"/>
          <a:ext cx="1133477" cy="219075"/>
        </a:xfrm>
        <a:prstGeom prst="wedgeRoundRectCallout">
          <a:avLst>
            <a:gd name="adj1" fmla="val 85801"/>
            <a:gd name="adj2" fmla="val 73741"/>
            <a:gd name="adj3" fmla="val 16667"/>
          </a:avLst>
        </a:prstGeom>
        <a:solidFill>
          <a:schemeClr val="bg1">
            <a:lumMod val="85000"/>
          </a:schemeClr>
        </a:solidFill>
        <a:ln>
          <a:no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r>
            <a:rPr lang="en-AU" sz="900" b="0">
              <a:solidFill>
                <a:sysClr val="windowText" lastClr="000000"/>
              </a:solidFill>
            </a:rPr>
            <a:t>Update if required</a:t>
          </a:r>
        </a:p>
      </xdr:txBody>
    </xdr:sp>
    <xdr:clientData/>
  </xdr:twoCellAnchor>
  <xdr:twoCellAnchor>
    <xdr:from>
      <xdr:col>37</xdr:col>
      <xdr:colOff>552445</xdr:colOff>
      <xdr:row>5</xdr:row>
      <xdr:rowOff>4761</xdr:rowOff>
    </xdr:from>
    <xdr:to>
      <xdr:col>39</xdr:col>
      <xdr:colOff>476250</xdr:colOff>
      <xdr:row>7</xdr:row>
      <xdr:rowOff>119063</xdr:rowOff>
    </xdr:to>
    <xdr:sp macro="" textlink="">
      <xdr:nvSpPr>
        <xdr:cNvPr id="5" name="Speech Bubble: Rectangle with Corners Rounded 4">
          <a:extLst>
            <a:ext uri="{FF2B5EF4-FFF2-40B4-BE49-F238E27FC236}">
              <a16:creationId xmlns:a16="http://schemas.microsoft.com/office/drawing/2014/main" id="{22EBE3C6-CB5A-4B3A-914A-A75702788775}"/>
            </a:ext>
          </a:extLst>
        </xdr:cNvPr>
        <xdr:cNvSpPr/>
      </xdr:nvSpPr>
      <xdr:spPr>
        <a:xfrm flipH="1">
          <a:off x="13987458" y="947736"/>
          <a:ext cx="1219205" cy="476252"/>
        </a:xfrm>
        <a:prstGeom prst="wedgeRoundRectCallout">
          <a:avLst>
            <a:gd name="adj1" fmla="val 90489"/>
            <a:gd name="adj2" fmla="val 44958"/>
            <a:gd name="adj3" fmla="val 16667"/>
          </a:avLst>
        </a:prstGeom>
        <a:solidFill>
          <a:schemeClr val="bg1">
            <a:lumMod val="85000"/>
          </a:schemeClr>
        </a:solidFill>
        <a:ln>
          <a:no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marL="0" indent="0" algn="l"/>
          <a:r>
            <a:rPr lang="en-AU" sz="900" b="0">
              <a:solidFill>
                <a:sysClr val="windowText" lastClr="000000"/>
              </a:solidFill>
              <a:latin typeface="+mn-lt"/>
              <a:ea typeface="+mn-ea"/>
              <a:cs typeface="+mn-cs"/>
            </a:rPr>
            <a:t>Update currency pair </a:t>
          </a:r>
        </a:p>
        <a:p>
          <a:pPr marL="0" indent="0" algn="l"/>
          <a:r>
            <a:rPr lang="en-AU" sz="900" b="0">
              <a:solidFill>
                <a:sysClr val="windowText" lastClr="000000"/>
              </a:solidFill>
              <a:latin typeface="+mn-lt"/>
              <a:ea typeface="+mn-ea"/>
              <a:cs typeface="+mn-cs"/>
            </a:rPr>
            <a:t>if required</a:t>
          </a:r>
        </a:p>
      </xdr:txBody>
    </xdr:sp>
    <xdr:clientData/>
  </xdr:twoCellAnchor>
  <xdr:twoCellAnchor>
    <xdr:from>
      <xdr:col>37</xdr:col>
      <xdr:colOff>571499</xdr:colOff>
      <xdr:row>8</xdr:row>
      <xdr:rowOff>71437</xdr:rowOff>
    </xdr:from>
    <xdr:to>
      <xdr:col>39</xdr:col>
      <xdr:colOff>214312</xdr:colOff>
      <xdr:row>10</xdr:row>
      <xdr:rowOff>128588</xdr:rowOff>
    </xdr:to>
    <xdr:sp macro="" textlink="">
      <xdr:nvSpPr>
        <xdr:cNvPr id="6" name="Speech Bubble: Rectangle with Corners Rounded 5">
          <a:extLst>
            <a:ext uri="{FF2B5EF4-FFF2-40B4-BE49-F238E27FC236}">
              <a16:creationId xmlns:a16="http://schemas.microsoft.com/office/drawing/2014/main" id="{C2666A6F-79A1-4833-B272-558EE989F010}"/>
            </a:ext>
          </a:extLst>
        </xdr:cNvPr>
        <xdr:cNvSpPr/>
      </xdr:nvSpPr>
      <xdr:spPr>
        <a:xfrm flipH="1">
          <a:off x="14006512" y="1557337"/>
          <a:ext cx="938213" cy="419101"/>
        </a:xfrm>
        <a:prstGeom prst="wedgeRoundRectCallout">
          <a:avLst>
            <a:gd name="adj1" fmla="val 99613"/>
            <a:gd name="adj2" fmla="val -40462"/>
            <a:gd name="adj3" fmla="val 16667"/>
          </a:avLst>
        </a:prstGeom>
        <a:solidFill>
          <a:schemeClr val="bg1">
            <a:lumMod val="85000"/>
          </a:schemeClr>
        </a:solidFill>
        <a:ln>
          <a:no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marL="0" indent="0" algn="l"/>
          <a:r>
            <a:rPr lang="en-AU" sz="900" b="0">
              <a:solidFill>
                <a:sysClr val="windowText" lastClr="000000"/>
              </a:solidFill>
              <a:latin typeface="+mn-lt"/>
              <a:ea typeface="+mn-ea"/>
              <a:cs typeface="+mn-cs"/>
            </a:rPr>
            <a:t>Add additional currency pairs</a:t>
          </a:r>
        </a:p>
      </xdr:txBody>
    </xdr:sp>
    <xdr:clientData/>
  </xdr:twoCellAnchor>
  <xdr:twoCellAnchor>
    <xdr:from>
      <xdr:col>19</xdr:col>
      <xdr:colOff>4762</xdr:colOff>
      <xdr:row>6</xdr:row>
      <xdr:rowOff>100012</xdr:rowOff>
    </xdr:from>
    <xdr:to>
      <xdr:col>19</xdr:col>
      <xdr:colOff>1162049</xdr:colOff>
      <xdr:row>17</xdr:row>
      <xdr:rowOff>23812</xdr:rowOff>
    </xdr:to>
    <xdr:sp macro="" textlink="">
      <xdr:nvSpPr>
        <xdr:cNvPr id="7" name="Rectangle: Rounded Corners 6">
          <a:extLst>
            <a:ext uri="{FF2B5EF4-FFF2-40B4-BE49-F238E27FC236}">
              <a16:creationId xmlns:a16="http://schemas.microsoft.com/office/drawing/2014/main" id="{F80282C6-A59F-4A5C-EA19-FD2D49BE95B5}"/>
            </a:ext>
          </a:extLst>
        </xdr:cNvPr>
        <xdr:cNvSpPr/>
      </xdr:nvSpPr>
      <xdr:spPr>
        <a:xfrm>
          <a:off x="8572500" y="1223962"/>
          <a:ext cx="1157287" cy="1914525"/>
        </a:xfrm>
        <a:prstGeom prst="roundRect">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1100">
              <a:solidFill>
                <a:sysClr val="windowText" lastClr="000000"/>
              </a:solidFill>
            </a:rPr>
            <a:t>Quick Check for Windows:</a:t>
          </a:r>
        </a:p>
        <a:p>
          <a:pPr algn="l"/>
          <a:endParaRPr lang="en-AU" sz="1100">
            <a:solidFill>
              <a:sysClr val="windowText" lastClr="000000"/>
            </a:solidFill>
          </a:endParaRPr>
        </a:p>
        <a:p>
          <a:pPr algn="l"/>
          <a:r>
            <a:rPr lang="en-AU" sz="1100">
              <a:solidFill>
                <a:sysClr val="windowText" lastClr="000000"/>
              </a:solidFill>
            </a:rPr>
            <a:t>If you have Windows keep</a:t>
          </a:r>
          <a:r>
            <a:rPr lang="en-AU" sz="1100" baseline="0">
              <a:solidFill>
                <a:sysClr val="windowText" lastClr="000000"/>
              </a:solidFill>
            </a:rPr>
            <a:t> the one on the left and hide the one on the right.</a:t>
          </a:r>
          <a:endParaRPr lang="en-AU" sz="1100">
            <a:solidFill>
              <a:sysClr val="windowText" lastClr="000000"/>
            </a:solidFill>
          </a:endParaRPr>
        </a:p>
      </xdr:txBody>
    </xdr:sp>
    <xdr:clientData/>
  </xdr:twoCellAnchor>
  <xdr:twoCellAnchor>
    <xdr:from>
      <xdr:col>20</xdr:col>
      <xdr:colOff>252411</xdr:colOff>
      <xdr:row>2</xdr:row>
      <xdr:rowOff>128591</xdr:rowOff>
    </xdr:from>
    <xdr:to>
      <xdr:col>20</xdr:col>
      <xdr:colOff>1038224</xdr:colOff>
      <xdr:row>5</xdr:row>
      <xdr:rowOff>38104</xdr:rowOff>
    </xdr:to>
    <xdr:sp macro="" textlink="">
      <xdr:nvSpPr>
        <xdr:cNvPr id="8" name="Arrow: Right 7">
          <a:extLst>
            <a:ext uri="{FF2B5EF4-FFF2-40B4-BE49-F238E27FC236}">
              <a16:creationId xmlns:a16="http://schemas.microsoft.com/office/drawing/2014/main" id="{04013BDE-0C10-E1CA-BF00-1FDADADE5AF0}"/>
            </a:ext>
          </a:extLst>
        </xdr:cNvPr>
        <xdr:cNvSpPr/>
      </xdr:nvSpPr>
      <xdr:spPr>
        <a:xfrm>
          <a:off x="10029824" y="509591"/>
          <a:ext cx="785813" cy="471488"/>
        </a:xfrm>
        <a:prstGeom prst="rightArrow">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19</xdr:col>
      <xdr:colOff>80963</xdr:colOff>
      <xdr:row>2</xdr:row>
      <xdr:rowOff>138116</xdr:rowOff>
    </xdr:from>
    <xdr:to>
      <xdr:col>19</xdr:col>
      <xdr:colOff>866776</xdr:colOff>
      <xdr:row>5</xdr:row>
      <xdr:rowOff>47629</xdr:rowOff>
    </xdr:to>
    <xdr:sp macro="" textlink="">
      <xdr:nvSpPr>
        <xdr:cNvPr id="9" name="Arrow: Right 8">
          <a:extLst>
            <a:ext uri="{FF2B5EF4-FFF2-40B4-BE49-F238E27FC236}">
              <a16:creationId xmlns:a16="http://schemas.microsoft.com/office/drawing/2014/main" id="{146C7B25-1AA4-4BB6-A67D-975FA490695D}"/>
            </a:ext>
          </a:extLst>
        </xdr:cNvPr>
        <xdr:cNvSpPr/>
      </xdr:nvSpPr>
      <xdr:spPr>
        <a:xfrm flipH="1">
          <a:off x="8648701" y="519116"/>
          <a:ext cx="785813" cy="471488"/>
        </a:xfrm>
        <a:prstGeom prst="rightArrow">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20</xdr:col>
      <xdr:colOff>0</xdr:colOff>
      <xdr:row>6</xdr:row>
      <xdr:rowOff>100013</xdr:rowOff>
    </xdr:from>
    <xdr:to>
      <xdr:col>21</xdr:col>
      <xdr:colOff>23812</xdr:colOff>
      <xdr:row>23</xdr:row>
      <xdr:rowOff>9526</xdr:rowOff>
    </xdr:to>
    <xdr:sp macro="" textlink="">
      <xdr:nvSpPr>
        <xdr:cNvPr id="10" name="Rectangle: Rounded Corners 9">
          <a:extLst>
            <a:ext uri="{FF2B5EF4-FFF2-40B4-BE49-F238E27FC236}">
              <a16:creationId xmlns:a16="http://schemas.microsoft.com/office/drawing/2014/main" id="{EFAC3ED9-A454-42DC-8033-27A60594F9DB}"/>
            </a:ext>
          </a:extLst>
        </xdr:cNvPr>
        <xdr:cNvSpPr/>
      </xdr:nvSpPr>
      <xdr:spPr>
        <a:xfrm>
          <a:off x="9777413" y="1223963"/>
          <a:ext cx="1157287" cy="2986088"/>
        </a:xfrm>
        <a:prstGeom prst="roundRect">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1100">
              <a:solidFill>
                <a:sysClr val="windowText" lastClr="000000"/>
              </a:solidFill>
            </a:rPr>
            <a:t>Quick Check for Mac:</a:t>
          </a:r>
        </a:p>
        <a:p>
          <a:pPr algn="l"/>
          <a:endParaRPr lang="en-AU" sz="1100">
            <a:solidFill>
              <a:sysClr val="windowText" lastClr="000000"/>
            </a:solidFill>
          </a:endParaRPr>
        </a:p>
        <a:p>
          <a:pPr algn="l"/>
          <a:r>
            <a:rPr lang="en-AU" sz="1100">
              <a:solidFill>
                <a:sysClr val="windowText" lastClr="000000"/>
              </a:solidFill>
            </a:rPr>
            <a:t>If you</a:t>
          </a:r>
          <a:r>
            <a:rPr lang="en-AU" sz="1100" baseline="0">
              <a:solidFill>
                <a:sysClr val="windowText" lastClr="000000"/>
              </a:solidFill>
            </a:rPr>
            <a:t> using Excel 365 on a Mac, stick with the version on the right.</a:t>
          </a:r>
        </a:p>
        <a:p>
          <a:pPr algn="l"/>
          <a:endParaRPr lang="en-AU" sz="1100" baseline="0">
            <a:solidFill>
              <a:sysClr val="windowText" lastClr="000000"/>
            </a:solidFill>
          </a:endParaRPr>
        </a:p>
        <a:p>
          <a:pPr algn="l"/>
          <a:r>
            <a:rPr lang="en-AU" sz="1100" baseline="0">
              <a:solidFill>
                <a:sysClr val="windowText" lastClr="000000"/>
              </a:solidFill>
            </a:rPr>
            <a:t>If you are not using Excel 365, this featured isn't supported and there is no workaround.</a:t>
          </a:r>
          <a:endParaRPr lang="en-AU" sz="1100">
            <a:solidFill>
              <a:sysClr val="windowText" lastClr="000000"/>
            </a:solidFill>
          </a:endParaRPr>
        </a:p>
      </xdr:txBody>
    </xdr:sp>
    <xdr:clientData/>
  </xdr:twoCellAnchor>
  <xdr:twoCellAnchor>
    <xdr:from>
      <xdr:col>19</xdr:col>
      <xdr:colOff>266706</xdr:colOff>
      <xdr:row>0</xdr:row>
      <xdr:rowOff>71437</xdr:rowOff>
    </xdr:from>
    <xdr:to>
      <xdr:col>20</xdr:col>
      <xdr:colOff>919168</xdr:colOff>
      <xdr:row>1</xdr:row>
      <xdr:rowOff>185737</xdr:rowOff>
    </xdr:to>
    <xdr:sp macro="" textlink="">
      <xdr:nvSpPr>
        <xdr:cNvPr id="11" name="Rectangle: Rounded Corners 10">
          <a:extLst>
            <a:ext uri="{FF2B5EF4-FFF2-40B4-BE49-F238E27FC236}">
              <a16:creationId xmlns:a16="http://schemas.microsoft.com/office/drawing/2014/main" id="{B608D00B-18FE-5E22-DA7C-62A3B340AC91}"/>
            </a:ext>
          </a:extLst>
        </xdr:cNvPr>
        <xdr:cNvSpPr/>
      </xdr:nvSpPr>
      <xdr:spPr>
        <a:xfrm>
          <a:off x="8834444" y="71437"/>
          <a:ext cx="1862137" cy="295275"/>
        </a:xfrm>
        <a:prstGeom prst="roundRect">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1100" b="1">
              <a:solidFill>
                <a:sysClr val="windowText" lastClr="000000"/>
              </a:solidFill>
            </a:rPr>
            <a:t>HIDE THE ONE NOT IN USE</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16</xdr:col>
      <xdr:colOff>171450</xdr:colOff>
      <xdr:row>1</xdr:row>
      <xdr:rowOff>0</xdr:rowOff>
    </xdr:from>
    <xdr:to>
      <xdr:col>17</xdr:col>
      <xdr:colOff>1125538</xdr:colOff>
      <xdr:row>3</xdr:row>
      <xdr:rowOff>39158</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039350" y="190500"/>
          <a:ext cx="2203450" cy="277283"/>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25400</xdr:colOff>
          <xdr:row>1</xdr:row>
          <xdr:rowOff>101600</xdr:rowOff>
        </xdr:from>
        <xdr:to>
          <xdr:col>21</xdr:col>
          <xdr:colOff>101600</xdr:colOff>
          <xdr:row>4</xdr:row>
          <xdr:rowOff>101600</xdr:rowOff>
        </xdr:to>
        <xdr:sp macro="" textlink="">
          <xdr:nvSpPr>
            <xdr:cNvPr id="21505" name="Button 1" descr="Reorder" hidden="1">
              <a:extLst>
                <a:ext uri="{63B3BB69-23CF-44E3-9099-C40C66FF867C}">
                  <a14:compatExt spid="_x0000_s21505"/>
                </a:ext>
                <a:ext uri="{FF2B5EF4-FFF2-40B4-BE49-F238E27FC236}">
                  <a16:creationId xmlns:a16="http://schemas.microsoft.com/office/drawing/2014/main" id="{00000000-0008-0000-0500-0000015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900" b="0" i="0" u="none" strike="noStrike" baseline="0">
                  <a:solidFill>
                    <a:srgbClr val="000000"/>
                  </a:solidFill>
                  <a:latin typeface="Calibri" pitchFamily="2" charset="0"/>
                  <a:cs typeface="Calibri" pitchFamily="2" charset="0"/>
                </a:rPr>
                <a:t>Hide/Unhide Shorts</a:t>
              </a:r>
            </a:p>
            <a:p>
              <a:pPr algn="ctr" rtl="0">
                <a:defRPr sz="1000"/>
              </a:pPr>
              <a:endParaRPr lang="en-GB" sz="900" b="0" i="0" u="none" strike="noStrike" baseline="0">
                <a:solidFill>
                  <a:srgbClr val="000000"/>
                </a:solidFill>
                <a:latin typeface="Calibri" pitchFamily="2" charset="0"/>
                <a:cs typeface="Calibri" pitchFamily="2" charset="0"/>
              </a:endParaRPr>
            </a:p>
          </xdr:txBody>
        </xdr:sp>
        <xdr:clientData/>
      </xdr:twoCellAnchor>
    </mc:Choice>
    <mc:Fallback/>
  </mc:AlternateContent>
  <xdr:twoCellAnchor>
    <xdr:from>
      <xdr:col>1</xdr:col>
      <xdr:colOff>154539</xdr:colOff>
      <xdr:row>0</xdr:row>
      <xdr:rowOff>116633</xdr:rowOff>
    </xdr:from>
    <xdr:to>
      <xdr:col>1</xdr:col>
      <xdr:colOff>1214924</xdr:colOff>
      <xdr:row>2</xdr:row>
      <xdr:rowOff>116633</xdr:rowOff>
    </xdr:to>
    <xdr:sp macro="" textlink="">
      <xdr:nvSpPr>
        <xdr:cNvPr id="3" name="Speech Bubble: Rectangle with Corners Rounded 2">
          <a:extLst>
            <a:ext uri="{FF2B5EF4-FFF2-40B4-BE49-F238E27FC236}">
              <a16:creationId xmlns:a16="http://schemas.microsoft.com/office/drawing/2014/main" id="{E73B7D6A-2DB9-0184-0226-6BD90586E92F}"/>
            </a:ext>
          </a:extLst>
        </xdr:cNvPr>
        <xdr:cNvSpPr/>
      </xdr:nvSpPr>
      <xdr:spPr>
        <a:xfrm>
          <a:off x="465559" y="116633"/>
          <a:ext cx="1060385" cy="301301"/>
        </a:xfrm>
        <a:prstGeom prst="wedgeRoundRectCallout">
          <a:avLst>
            <a:gd name="adj1" fmla="val -8067"/>
            <a:gd name="adj2" fmla="val 93056"/>
            <a:gd name="adj3" fmla="val 16667"/>
          </a:avLst>
        </a:prstGeom>
        <a:solidFill>
          <a:srgbClr val="147862"/>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r>
            <a:rPr lang="en-AU" sz="1100" b="1"/>
            <a:t>Enter any year</a:t>
          </a:r>
        </a:p>
      </xdr:txBody>
    </xdr:sp>
    <xdr:clientData/>
  </xdr:twoCellAnchor>
</xdr:wsDr>
</file>

<file path=xl/persons/person.xml><?xml version="1.0" encoding="utf-8"?>
<personList xmlns="http://schemas.microsoft.com/office/spreadsheetml/2018/threadedcomments" xmlns:x="http://schemas.openxmlformats.org/spreadsheetml/2006/main">
  <person displayName="Tricia Butler" id="{97BBE6DE-FD1D-461F-A285-1BBF70C6604B}" userId="2af0a1f7c2b122c7" providerId="Windows Live"/>
</personList>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ricia Butler" refreshedDate="45946.517665162035" backgroundQuery="1" createdVersion="8" refreshedVersion="8" minRefreshableVersion="3" recordCount="0" supportSubquery="1" supportAdvancedDrill="1" xr:uid="{ACE33023-F23D-4AA7-B31A-02C14BB83FEC}">
  <cacheSource type="external" connectionId="1"/>
  <cacheFields count="5">
    <cacheField name="[tbAllTrades].[Cur].[Cur]" caption="Cur" numFmtId="0" hierarchy="2" level="1">
      <sharedItems count="2">
        <s v="AUD"/>
        <s v="USD"/>
      </sharedItems>
    </cacheField>
    <cacheField name="[Measures].[Sum of No. of Shares]" caption="Sum of No. of Shares" numFmtId="0" hierarchy="39" level="32767"/>
    <cacheField name="[tbAllTrades].[Status].[Status]" caption="Status" numFmtId="0" level="1">
      <sharedItems containsSemiMixedTypes="0" containsNonDate="0" containsString="0"/>
    </cacheField>
    <cacheField name="[tbAllTrades].[Strategy].[Strategy]" caption="Strategy" numFmtId="0" hierarchy="6" level="1">
      <sharedItems containsSemiMixedTypes="0" containsNonDate="0" containsString="0"/>
    </cacheField>
    <cacheField name="[Measures].[Distinct Count of Stock]" caption="Distinct Count of Stock" numFmtId="0" hierarchy="41" level="32767"/>
  </cacheFields>
  <cacheHierarchies count="42">
    <cacheHierarchy uniqueName="[tbAllTrades].[Status]" caption="Status" attribute="1" defaultMemberUniqueName="[tbAllTrades].[Status].[All]" allUniqueName="[tbAllTrades].[Status].[All]" dimensionUniqueName="[tbAllTrades]" displayFolder="" count="2" memberValueDatatype="130" unbalanced="0">
      <fieldsUsage count="2">
        <fieldUsage x="-1"/>
        <fieldUsage x="2"/>
      </fieldsUsage>
    </cacheHierarchy>
    <cacheHierarchy uniqueName="[tbAllTrades].[Stock]" caption="Stock" attribute="1" defaultMemberUniqueName="[tbAllTrades].[Stock].[All]" allUniqueName="[tbAllTrades].[Stock].[All]" dimensionUniqueName="[tbAllTrades]" displayFolder="" count="0" memberValueDatatype="130" unbalanced="0"/>
    <cacheHierarchy uniqueName="[tbAllTrades].[Cur]" caption="Cur" attribute="1" defaultMemberUniqueName="[tbAllTrades].[Cur].[All]" allUniqueName="[tbAllTrades].[Cur].[All]" dimensionUniqueName="[tbAllTrades]" displayFolder="" count="2" memberValueDatatype="130" unbalanced="0">
      <fieldsUsage count="2">
        <fieldUsage x="-1"/>
        <fieldUsage x="0"/>
      </fieldsUsage>
    </cacheHierarchy>
    <cacheHierarchy uniqueName="[tbAllTrades].[Name]" caption="Name" attribute="1" defaultMemberUniqueName="[tbAllTrades].[Name].[All]" allUniqueName="[tbAllTrades].[Name].[All]" dimensionUniqueName="[tbAllTrades]" displayFolder="" count="0" memberValueDatatype="130" unbalanced="0"/>
    <cacheHierarchy uniqueName="[tbAllTrades].[Sector]" caption="Sector" attribute="1" defaultMemberUniqueName="[tbAllTrades].[Sector].[All]" allUniqueName="[tbAllTrades].[Sector].[All]" dimensionUniqueName="[tbAllTrades]" displayFolder="" count="0" memberValueDatatype="130" unbalanced="0"/>
    <cacheHierarchy uniqueName="[tbAllTrades].[Industry]" caption="Industry" attribute="1" defaultMemberUniqueName="[tbAllTrades].[Industry].[All]" allUniqueName="[tbAllTrades].[Industry].[All]" dimensionUniqueName="[tbAllTrades]" displayFolder="" count="0" memberValueDatatype="130" unbalanced="0"/>
    <cacheHierarchy uniqueName="[tbAllTrades].[Strategy]" caption="Strategy" attribute="1" defaultMemberUniqueName="[tbAllTrades].[Strategy].[All]" allUniqueName="[tbAllTrades].[Strategy].[All]" dimensionUniqueName="[tbAllTrades]" displayFolder="" count="2" memberValueDatatype="130" unbalanced="0">
      <fieldsUsage count="2">
        <fieldUsage x="-1"/>
        <fieldUsage x="3"/>
      </fieldsUsage>
    </cacheHierarchy>
    <cacheHierarchy uniqueName="[tbAllTrades].[Entry Date]" caption="Entry Date" attribute="1" time="1" defaultMemberUniqueName="[tbAllTrades].[Entry Date].[All]" allUniqueName="[tbAllTrades].[Entry Date].[All]" dimensionUniqueName="[tbAllTrades]" displayFolder="" count="0" memberValueDatatype="7" unbalanced="0"/>
    <cacheHierarchy uniqueName="[tbAllTrades].[Entry Price]" caption="Entry Price" attribute="1" defaultMemberUniqueName="[tbAllTrades].[Entry Price].[All]" allUniqueName="[tbAllTrades].[Entry Price].[All]" dimensionUniqueName="[tbAllTrades]" displayFolder="" count="0" memberValueDatatype="20" unbalanced="0"/>
    <cacheHierarchy uniqueName="[tbAllTrades].[No. of Shares]" caption="No. of Shares" attribute="1" defaultMemberUniqueName="[tbAllTrades].[No. of Shares].[All]" allUniqueName="[tbAllTrades].[No. of Shares].[All]" dimensionUniqueName="[tbAllTrades]" displayFolder="" count="0" memberValueDatatype="20" unbalanced="0"/>
    <cacheHierarchy uniqueName="[tbAllTrades].[Investment In]" caption="Investment In" attribute="1" defaultMemberUniqueName="[tbAllTrades].[Investment In].[All]" allUniqueName="[tbAllTrades].[Investment In].[All]" dimensionUniqueName="[tbAllTrades]" displayFolder="" count="0" memberValueDatatype="20" unbalanced="0"/>
    <cacheHierarchy uniqueName="[tbAllTrades].[Position Size]" caption="Position Size" attribute="1" defaultMemberUniqueName="[tbAllTrades].[Position Size].[All]" allUniqueName="[tbAllTrades].[Position Size].[All]" dimensionUniqueName="[tbAllTrades]" displayFolder="" count="0" memberValueDatatype="5" unbalanced="0"/>
    <cacheHierarchy uniqueName="[tbAllTrades].[Combined Pos Size]" caption="Combined Pos Size" attribute="1" defaultMemberUniqueName="[tbAllTrades].[Combined Pos Size].[All]" allUniqueName="[tbAllTrades].[Combined Pos Size].[All]" dimensionUniqueName="[tbAllTrades]" displayFolder="" count="0" memberValueDatatype="5" unbalanced="0"/>
    <cacheHierarchy uniqueName="[tbAllTrades].[% of Portfolio]" caption="% of Portfolio" attribute="1" defaultMemberUniqueName="[tbAllTrades].[% of Portfolio].[All]" allUniqueName="[tbAllTrades].[% of Portfolio].[All]" dimensionUniqueName="[tbAllTrades]" displayFolder="" count="0" memberValueDatatype="130" unbalanced="0"/>
    <cacheHierarchy uniqueName="[tbAllTrades].[Exit Date]" caption="Exit Date" attribute="1" time="1" defaultMemberUniqueName="[tbAllTrades].[Exit Date].[All]" allUniqueName="[tbAllTrades].[Exit Date].[All]" dimensionUniqueName="[tbAllTrades]" displayFolder="" count="0" memberValueDatatype="7" unbalanced="0"/>
    <cacheHierarchy uniqueName="[tbAllTrades].[Exit Price]" caption="Exit Price" attribute="1" defaultMemberUniqueName="[tbAllTrades].[Exit Price].[All]" allUniqueName="[tbAllTrades].[Exit Price].[All]" dimensionUniqueName="[tbAllTrades]" displayFolder="" count="0" memberValueDatatype="20" unbalanced="0"/>
    <cacheHierarchy uniqueName="[tbAllTrades].[Investment Out]" caption="Investment Out" attribute="1" defaultMemberUniqueName="[tbAllTrades].[Investment Out].[All]" allUniqueName="[tbAllTrades].[Investment Out].[All]" dimensionUniqueName="[tbAllTrades]" displayFolder="" count="0" memberValueDatatype="20" unbalanced="0"/>
    <cacheHierarchy uniqueName="[tbAllTrades].[Short Sold]" caption="Short Sold" attribute="1" defaultMemberUniqueName="[tbAllTrades].[Short Sold].[All]" allUniqueName="[tbAllTrades].[Short Sold].[All]" dimensionUniqueName="[tbAllTrades]" displayFolder="" count="0" memberValueDatatype="130" unbalanced="0"/>
    <cacheHierarchy uniqueName="[tbAllTrades].[Commission]" caption="Commission" attribute="1" defaultMemberUniqueName="[tbAllTrades].[Commission].[All]" allUniqueName="[tbAllTrades].[Commission].[All]" dimensionUniqueName="[tbAllTrades]" displayFolder="" count="0" memberValueDatatype="130" unbalanced="0"/>
    <cacheHierarchy uniqueName="[tbAllTrades].[ROI ($)]" caption="ROI ($)" attribute="1" defaultMemberUniqueName="[tbAllTrades].[ROI ($)].[All]" allUniqueName="[tbAllTrades].[ROI ($)].[All]" dimensionUniqueName="[tbAllTrades]" displayFolder="" count="0" memberValueDatatype="130" unbalanced="0"/>
    <cacheHierarchy uniqueName="[tbAllTrades].[Combined ROI ($)]" caption="Combined ROI ($)" attribute="1" defaultMemberUniqueName="[tbAllTrades].[Combined ROI ($)].[All]" allUniqueName="[tbAllTrades].[Combined ROI ($)].[All]" dimensionUniqueName="[tbAllTrades]" displayFolder="" count="0" memberValueDatatype="20" unbalanced="0"/>
    <cacheHierarchy uniqueName="[tbAllTrades].[ROI (%)]" caption="ROI (%)" attribute="1" defaultMemberUniqueName="[tbAllTrades].[ROI (%)].[All]" allUniqueName="[tbAllTrades].[ROI (%)].[All]" dimensionUniqueName="[tbAllTrades]" displayFolder="" count="0" memberValueDatatype="130" unbalanced="0"/>
    <cacheHierarchy uniqueName="[tbAllTrades].[Combined ROI (%)]" caption="Combined ROI (%)" attribute="1" defaultMemberUniqueName="[tbAllTrades].[Combined ROI (%)].[All]" allUniqueName="[tbAllTrades].[Combined ROI (%)].[All]" dimensionUniqueName="[tbAllTrades]" displayFolder="" count="0" memberValueDatatype="5" unbalanced="0"/>
    <cacheHierarchy uniqueName="[tbAllTrades].[Dividends (cents)]" caption="Dividends (cents)" attribute="1" defaultMemberUniqueName="[tbAllTrades].[Dividends (cents)].[All]" allUniqueName="[tbAllTrades].[Dividends (cents)].[All]" dimensionUniqueName="[tbAllTrades]" displayFolder="" count="0" memberValueDatatype="20" unbalanced="0"/>
    <cacheHierarchy uniqueName="[tbAllTrades].[Dividend Total]" caption="Dividend Total" attribute="1" defaultMemberUniqueName="[tbAllTrades].[Dividend Total].[All]" allUniqueName="[tbAllTrades].[Dividend Total].[All]" dimensionUniqueName="[tbAllTrades]" displayFolder="" count="0" memberValueDatatype="20" unbalanced="0"/>
    <cacheHierarchy uniqueName="[tbAllTrades].[ROI ($) + Dividend]" caption="ROI ($) + Dividend" attribute="1" defaultMemberUniqueName="[tbAllTrades].[ROI ($) + Dividend].[All]" allUniqueName="[tbAllTrades].[ROI ($) + Dividend].[All]" dimensionUniqueName="[tbAllTrades]" displayFolder="" count="0" memberValueDatatype="130" unbalanced="0"/>
    <cacheHierarchy uniqueName="[tbAllTrades].[Comb ROI ($) + Div by Strat]" caption="Comb ROI ($) + Div by Strat" attribute="1" defaultMemberUniqueName="[tbAllTrades].[Comb ROI ($) + Div by Strat].[All]" allUniqueName="[tbAllTrades].[Comb ROI ($) + Div by Strat].[All]" dimensionUniqueName="[tbAllTrades]" displayFolder="" count="0" memberValueDatatype="20" unbalanced="0"/>
    <cacheHierarchy uniqueName="[tbAllTrades].[Comb ROI ($) + Div by Stock]" caption="Comb ROI ($) + Div by Stock" attribute="1" defaultMemberUniqueName="[tbAllTrades].[Comb ROI ($) + Div by Stock].[All]" allUniqueName="[tbAllTrades].[Comb ROI ($) + Div by Stock].[All]" dimensionUniqueName="[tbAllTrades]" displayFolder="" count="0" memberValueDatatype="20" unbalanced="0"/>
    <cacheHierarchy uniqueName="[tbAllTrades].[ROI (%) + Dividend]" caption="ROI (%) + Dividend" attribute="1" defaultMemberUniqueName="[tbAllTrades].[ROI (%) + Dividend].[All]" allUniqueName="[tbAllTrades].[ROI (%) + Dividend].[All]" dimensionUniqueName="[tbAllTrades]" displayFolder="" count="0" memberValueDatatype="130" unbalanced="0"/>
    <cacheHierarchy uniqueName="[tbAllTrades].[Combined ROI (%) + Div]" caption="Combined ROI (%) + Div" attribute="1" defaultMemberUniqueName="[tbAllTrades].[Combined ROI (%) + Div].[All]" allUniqueName="[tbAllTrades].[Combined ROI (%) + Div].[All]" dimensionUniqueName="[tbAllTrades]" displayFolder="" count="0" memberValueDatatype="5" unbalanced="0"/>
    <cacheHierarchy uniqueName="[tbAllTrades].[Cost Basis]" caption="Cost Basis" attribute="1" defaultMemberUniqueName="[tbAllTrades].[Cost Basis].[All]" allUniqueName="[tbAllTrades].[Cost Basis].[All]" dimensionUniqueName="[tbAllTrades]" displayFolder="" count="0" memberValueDatatype="20" unbalanced="0"/>
    <cacheHierarchy uniqueName="[tbAllTrades].[Cost Basis Combined]" caption="Cost Basis Combined" attribute="1" defaultMemberUniqueName="[tbAllTrades].[Cost Basis Combined].[All]" allUniqueName="[tbAllTrades].[Cost Basis Combined].[All]" dimensionUniqueName="[tbAllTrades]" displayFolder="" count="0" memberValueDatatype="20" unbalanced="0"/>
    <cacheHierarchy uniqueName="[tbAllTrades].[Cost Basis Com in Base Curr]" caption="Cost Basis Com in Base Curr" attribute="1" defaultMemberUniqueName="[tbAllTrades].[Cost Basis Com in Base Curr].[All]" allUniqueName="[tbAllTrades].[Cost Basis Com in Base Curr].[All]" dimensionUniqueName="[tbAllTrades]" displayFolder="" count="0" memberValueDatatype="130" unbalanced="0"/>
    <cacheHierarchy uniqueName="[tbAllTrades].[Annualised]" caption="Annualised" attribute="1" defaultMemberUniqueName="[tbAllTrades].[Annualised].[All]" allUniqueName="[tbAllTrades].[Annualised].[All]" dimensionUniqueName="[tbAllTrades]" displayFolder="" count="0" memberValueDatatype="130" unbalanced="0"/>
    <cacheHierarchy uniqueName="[tbAllTrades].[Days]" caption="Days" attribute="1" defaultMemberUniqueName="[tbAllTrades].[Days].[All]" allUniqueName="[tbAllTrades].[Days].[All]" dimensionUniqueName="[tbAllTrades]" displayFolder="" count="0" memberValueDatatype="20" unbalanced="0"/>
    <cacheHierarchy uniqueName="[tbAllTrades].[Comments]" caption="Comments" attribute="1" defaultMemberUniqueName="[tbAllTrades].[Comments].[All]" allUniqueName="[tbAllTrades].[Comments].[All]" dimensionUniqueName="[tbAllTrades]" displayFolder="" count="0" memberValueDatatype="130" unbalanced="0"/>
    <cacheHierarchy uniqueName="[tbAllTrades].[Spare]" caption="Spare" attribute="1" defaultMemberUniqueName="[tbAllTrades].[Spare].[All]" allUniqueName="[tbAllTrades].[Spare].[All]" dimensionUniqueName="[tbAllTrades]" displayFolder="" count="0" memberValueDatatype="130" unbalanced="0"/>
    <cacheHierarchy uniqueName="[Measures].[__XL_Count tbAllTrades]" caption="__XL_Count tbAllTrades" measure="1" displayFolder="" measureGroup="tbAllTrades" count="0" hidden="1"/>
    <cacheHierarchy uniqueName="[Measures].[__No measures defined]" caption="__No measures defined" measure="1" displayFolder="" count="0" hidden="1"/>
    <cacheHierarchy uniqueName="[Measures].[Sum of No. of Shares]" caption="Sum of No. of Shares" measure="1" displayFolder="" measureGroup="tbAllTrades" count="0" oneField="1" hidden="1">
      <fieldsUsage count="1">
        <fieldUsage x="1"/>
      </fieldsUsage>
      <extLst>
        <ext xmlns:x15="http://schemas.microsoft.com/office/spreadsheetml/2010/11/main" uri="{B97F6D7D-B522-45F9-BDA1-12C45D357490}">
          <x15:cacheHierarchy aggregatedColumn="9"/>
        </ext>
      </extLst>
    </cacheHierarchy>
    <cacheHierarchy uniqueName="[Measures].[Count of Stock]" caption="Count of Stock" measure="1" displayFolder="" measureGroup="tbAllTrades" count="0" hidden="1">
      <extLst>
        <ext xmlns:x15="http://schemas.microsoft.com/office/spreadsheetml/2010/11/main" uri="{B97F6D7D-B522-45F9-BDA1-12C45D357490}">
          <x15:cacheHierarchy aggregatedColumn="1"/>
        </ext>
      </extLst>
    </cacheHierarchy>
    <cacheHierarchy uniqueName="[Measures].[Distinct Count of Stock]" caption="Distinct Count of Stock" measure="1" displayFolder="" measureGroup="tbAllTrades" count="0" oneField="1" hidden="1">
      <fieldsUsage count="1">
        <fieldUsage x="4"/>
      </fieldsUsage>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tbAllTrades" uniqueName="[tbAllTrades]" caption="tbAllTrades"/>
  </dimensions>
  <measureGroups count="1">
    <measureGroup name="tbAllTrades" caption="tbAllTrade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6131.408657291664" createdVersion="8" refreshedVersion="8" minRefreshableVersion="3" recordCount="23" xr:uid="{90B32330-1539-4DC6-B5EB-C92777CA12D0}">
  <cacheSource type="worksheet">
    <worksheetSource name="tbAllTrades"/>
  </cacheSource>
  <cacheFields count="37">
    <cacheField name="Status" numFmtId="0">
      <sharedItems containsBlank="1" count="4">
        <s v="Open"/>
        <m/>
        <s v="Closed" u="1"/>
        <s v="Exit" u="1"/>
      </sharedItems>
    </cacheField>
    <cacheField name="Stock" numFmtId="0">
      <sharedItems containsBlank="1" count="30">
        <s v="NKE"/>
        <m/>
        <s v="ANZ" u="1"/>
        <s v="MSFT" u="1"/>
        <s v="PEP" u="1"/>
        <s v="CMCSA" u="1"/>
        <s v="PFE" u="1"/>
        <s v="ko" u="1"/>
        <s v="aapl" u="1"/>
        <s v="A2M" u="1"/>
        <s v="ABDE" u="1"/>
        <s v="BAC" u="1"/>
        <s v="BIDU" u="1"/>
        <s v="LLY" u="1"/>
        <s v="AAA" u="1"/>
        <s v="adbe" u="1"/>
        <s v="wfc" u="1"/>
        <s v="AXP" u="1"/>
        <s v="BFH" u="1"/>
        <s v="DAL" u="1"/>
        <s v="DEO" u="1"/>
        <s v="HUM" u="1"/>
        <s v="JNJ" u="1"/>
        <s v="ODFL" u="1"/>
        <s v="OIH" u="1"/>
        <s v="USB" u="1"/>
        <s v="COF" u="1"/>
        <s v="MMM" u="1"/>
        <s v="SOLV" u="1"/>
        <s v="APPL" u="1"/>
      </sharedItems>
    </cacheField>
    <cacheField name="Cur" numFmtId="0">
      <sharedItems containsBlank="1" count="8">
        <s v="USD"/>
        <m/>
        <s v="AUD" u="1"/>
        <s v="gbp" u="1"/>
        <s v="gpb" u="1"/>
        <s v="jpy" u="1"/>
        <s v="CHN" u="1"/>
        <s v="NZD" u="1"/>
      </sharedItems>
    </cacheField>
    <cacheField name="Name" numFmtId="0">
      <sharedItems containsBlank="1"/>
    </cacheField>
    <cacheField name="Sector" numFmtId="0">
      <sharedItems containsBlank="1"/>
    </cacheField>
    <cacheField name="Industry" numFmtId="0">
      <sharedItems containsBlank="1"/>
    </cacheField>
    <cacheField name="Strategy" numFmtId="0">
      <sharedItems containsBlank="1" count="8">
        <s v="Trade"/>
        <m/>
        <s v="Invest" u="1"/>
        <s v="Trades" u="1"/>
        <s v="t" u="1"/>
        <s v="Income" u="1"/>
        <s v=" Trade" u="1"/>
        <s v="d" u="1"/>
      </sharedItems>
    </cacheField>
    <cacheField name="Entry Date" numFmtId="14">
      <sharedItems containsNonDate="0" containsDate="1" containsString="0" containsBlank="1" minDate="2026-04-16T00:00:00" maxDate="2026-04-17T00:00:00"/>
    </cacheField>
    <cacheField name="Entry Price" numFmtId="7">
      <sharedItems containsString="0" containsBlank="1" containsNumber="1" minValue="45.95" maxValue="45.95"/>
    </cacheField>
    <cacheField name="No. of Shares" numFmtId="1">
      <sharedItems containsString="0" containsBlank="1" containsNumber="1" minValue="0.34" maxValue="0.34"/>
    </cacheField>
    <cacheField name="Investment In" numFmtId="7">
      <sharedItems containsSemiMixedTypes="0" containsString="0" containsNumber="1" minValue="0" maxValue="15.623000000000003"/>
    </cacheField>
    <cacheField name="Position Size" numFmtId="10">
      <sharedItems containsString="0" containsBlank="1" containsNumber="1" minValue="0.01" maxValue="0.01"/>
    </cacheField>
    <cacheField name="Combined Pos Size" numFmtId="10">
      <sharedItems containsSemiMixedTypes="0" containsString="0" containsNumber="1" minValue="0" maxValue="0.01"/>
    </cacheField>
    <cacheField name="% of Portfolio" numFmtId="10">
      <sharedItems containsMixedTypes="1" containsNumber="1" minValue="6.606534223056691E-3" maxValue="6.606534223056691E-3"/>
    </cacheField>
    <cacheField name="Exit Date" numFmtId="174">
      <sharedItems containsNonDate="0" containsString="0" containsBlank="1"/>
    </cacheField>
    <cacheField name="Exit Price" numFmtId="7">
      <sharedItems containsNonDate="0" containsString="0" containsBlank="1"/>
    </cacheField>
    <cacheField name="Investment Out" numFmtId="7">
      <sharedItems containsSemiMixedTypes="0" containsString="0" containsNumber="1" containsInteger="1" minValue="0" maxValue="0"/>
    </cacheField>
    <cacheField name="Short Sold" numFmtId="167">
      <sharedItems containsNonDate="0" containsString="0" containsBlank="1"/>
    </cacheField>
    <cacheField name="Commission" numFmtId="7">
      <sharedItems containsNonDate="0" containsString="0" containsBlank="1"/>
    </cacheField>
    <cacheField name="ROI ($)" numFmtId="165">
      <sharedItems/>
    </cacheField>
    <cacheField name="Combined ROI ($)" numFmtId="165">
      <sharedItems containsSemiMixedTypes="0" containsString="0" containsNumber="1" containsInteger="1" minValue="0" maxValue="0"/>
    </cacheField>
    <cacheField name="ROI (%)" numFmtId="10">
      <sharedItems/>
    </cacheField>
    <cacheField name="Combined ROI (%)" numFmtId="10">
      <sharedItems containsSemiMixedTypes="0" containsString="0" containsNumber="1" containsInteger="1" minValue="0" maxValue="0"/>
    </cacheField>
    <cacheField name="Dividends (cents)" numFmtId="7">
      <sharedItems containsNonDate="0" containsString="0" containsBlank="1"/>
    </cacheField>
    <cacheField name="Dividend Total" numFmtId="7">
      <sharedItems containsSemiMixedTypes="0" containsString="0" containsNumber="1" containsInteger="1" minValue="0" maxValue="0"/>
    </cacheField>
    <cacheField name="ROI ($) + Dividend" numFmtId="165">
      <sharedItems/>
    </cacheField>
    <cacheField name="Comb ROI ($) + Div by Strat" numFmtId="165">
      <sharedItems containsSemiMixedTypes="0" containsString="0" containsNumber="1" containsInteger="1" minValue="0" maxValue="0"/>
    </cacheField>
    <cacheField name="Comb ROI ($) + Div by Stock" numFmtId="165">
      <sharedItems containsSemiMixedTypes="0" containsString="0" containsNumber="1" containsInteger="1" minValue="0" maxValue="0"/>
    </cacheField>
    <cacheField name="ROI (%) + Dividend" numFmtId="10">
      <sharedItems/>
    </cacheField>
    <cacheField name="Combined ROI (%) + Div" numFmtId="10">
      <sharedItems containsSemiMixedTypes="0" containsString="0" containsNumber="1" containsInteger="1" minValue="0" maxValue="0"/>
    </cacheField>
    <cacheField name="Cost Basis" numFmtId="7">
      <sharedItems containsSemiMixedTypes="0" containsString="0" containsNumber="1" minValue="0" maxValue="15.623000000000003"/>
    </cacheField>
    <cacheField name="Cost Basis Combined" numFmtId="7">
      <sharedItems containsSemiMixedTypes="0" containsString="0" containsNumber="1" minValue="0" maxValue="15.623000000000003"/>
    </cacheField>
    <cacheField name="Cost Basis Com in Base Curr" numFmtId="7">
      <sharedItems containsMixedTypes="1" containsNumber="1" minValue="21.80156293608708" maxValue="21.80156293608708"/>
    </cacheField>
    <cacheField name="Annualised" numFmtId="10">
      <sharedItems/>
    </cacheField>
    <cacheField name="Days" numFmtId="167">
      <sharedItems containsSemiMixedTypes="0" containsString="0" containsNumber="1" containsInteger="1" minValue="0" maxValue="3"/>
    </cacheField>
    <cacheField name="Comments" numFmtId="49">
      <sharedItems containsNonDate="0" containsString="0" containsBlank="1"/>
    </cacheField>
    <cacheField name="Spare"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x v="0"/>
    <x v="0"/>
    <x v="0"/>
    <s v="Nike"/>
    <s v="Consumer Cyclical"/>
    <s v="Footwear &amp; Accessories"/>
    <x v="0"/>
    <d v="2026-04-16T00:00:00"/>
    <n v="45.95"/>
    <n v="0.34"/>
    <n v="15.623000000000003"/>
    <n v="0.01"/>
    <n v="0.01"/>
    <n v="6.606534223056691E-3"/>
    <m/>
    <m/>
    <n v="0"/>
    <m/>
    <m/>
    <s v=""/>
    <n v="0"/>
    <s v=""/>
    <n v="0"/>
    <m/>
    <n v="0"/>
    <s v=""/>
    <n v="0"/>
    <n v="0"/>
    <s v=""/>
    <n v="0"/>
    <n v="15.623000000000003"/>
    <n v="15.623000000000003"/>
    <n v="21.80156293608708"/>
    <s v=""/>
    <n v="3"/>
    <m/>
    <m/>
  </r>
  <r>
    <x v="1"/>
    <x v="1"/>
    <x v="1"/>
    <m/>
    <m/>
    <m/>
    <x v="1"/>
    <m/>
    <m/>
    <m/>
    <n v="0"/>
    <m/>
    <n v="0"/>
    <s v="No Cur"/>
    <m/>
    <m/>
    <n v="0"/>
    <m/>
    <m/>
    <s v=""/>
    <n v="0"/>
    <s v=""/>
    <n v="0"/>
    <m/>
    <n v="0"/>
    <s v=""/>
    <n v="0"/>
    <n v="0"/>
    <s v=""/>
    <n v="0"/>
    <n v="0"/>
    <n v="0"/>
    <s v="No Cur"/>
    <s v=""/>
    <n v="0"/>
    <m/>
    <m/>
  </r>
  <r>
    <x v="1"/>
    <x v="1"/>
    <x v="1"/>
    <m/>
    <m/>
    <m/>
    <x v="1"/>
    <m/>
    <m/>
    <m/>
    <n v="0"/>
    <m/>
    <n v="0"/>
    <s v="No Cur"/>
    <m/>
    <m/>
    <n v="0"/>
    <m/>
    <m/>
    <s v=""/>
    <n v="0"/>
    <s v=""/>
    <n v="0"/>
    <m/>
    <n v="0"/>
    <s v=""/>
    <n v="0"/>
    <n v="0"/>
    <s v=""/>
    <n v="0"/>
    <n v="0"/>
    <n v="0"/>
    <s v="No Cur"/>
    <s v=""/>
    <n v="0"/>
    <m/>
    <m/>
  </r>
  <r>
    <x v="1"/>
    <x v="1"/>
    <x v="1"/>
    <m/>
    <m/>
    <m/>
    <x v="1"/>
    <m/>
    <m/>
    <m/>
    <n v="0"/>
    <m/>
    <n v="0"/>
    <s v="No Cur"/>
    <m/>
    <m/>
    <n v="0"/>
    <m/>
    <m/>
    <s v=""/>
    <n v="0"/>
    <s v=""/>
    <n v="0"/>
    <m/>
    <n v="0"/>
    <s v=""/>
    <n v="0"/>
    <n v="0"/>
    <s v=""/>
    <n v="0"/>
    <n v="0"/>
    <n v="0"/>
    <s v="No Cur"/>
    <s v=""/>
    <n v="0"/>
    <m/>
    <m/>
  </r>
  <r>
    <x v="1"/>
    <x v="1"/>
    <x v="1"/>
    <m/>
    <m/>
    <m/>
    <x v="1"/>
    <m/>
    <m/>
    <m/>
    <n v="0"/>
    <m/>
    <n v="0"/>
    <s v="No Cur"/>
    <m/>
    <m/>
    <n v="0"/>
    <m/>
    <m/>
    <s v=""/>
    <n v="0"/>
    <s v=""/>
    <n v="0"/>
    <m/>
    <n v="0"/>
    <s v=""/>
    <n v="0"/>
    <n v="0"/>
    <s v=""/>
    <n v="0"/>
    <n v="0"/>
    <n v="0"/>
    <s v="No Cur"/>
    <s v=""/>
    <n v="0"/>
    <m/>
    <m/>
  </r>
  <r>
    <x v="1"/>
    <x v="1"/>
    <x v="1"/>
    <m/>
    <m/>
    <m/>
    <x v="1"/>
    <m/>
    <m/>
    <m/>
    <n v="0"/>
    <m/>
    <n v="0"/>
    <s v="No Cur"/>
    <m/>
    <m/>
    <n v="0"/>
    <m/>
    <m/>
    <s v=""/>
    <n v="0"/>
    <s v=""/>
    <n v="0"/>
    <m/>
    <n v="0"/>
    <s v=""/>
    <n v="0"/>
    <n v="0"/>
    <s v=""/>
    <n v="0"/>
    <n v="0"/>
    <n v="0"/>
    <s v="No Cur"/>
    <s v=""/>
    <n v="0"/>
    <m/>
    <m/>
  </r>
  <r>
    <x v="1"/>
    <x v="1"/>
    <x v="1"/>
    <m/>
    <m/>
    <m/>
    <x v="1"/>
    <m/>
    <m/>
    <m/>
    <n v="0"/>
    <m/>
    <n v="0"/>
    <s v="No Cur"/>
    <m/>
    <m/>
    <n v="0"/>
    <m/>
    <m/>
    <s v=""/>
    <n v="0"/>
    <s v=""/>
    <n v="0"/>
    <m/>
    <n v="0"/>
    <s v=""/>
    <n v="0"/>
    <n v="0"/>
    <s v=""/>
    <n v="0"/>
    <n v="0"/>
    <n v="0"/>
    <s v="No Cur"/>
    <s v=""/>
    <n v="0"/>
    <m/>
    <m/>
  </r>
  <r>
    <x v="1"/>
    <x v="1"/>
    <x v="1"/>
    <m/>
    <m/>
    <m/>
    <x v="1"/>
    <m/>
    <m/>
    <m/>
    <n v="0"/>
    <m/>
    <n v="0"/>
    <s v="No Cur"/>
    <m/>
    <m/>
    <n v="0"/>
    <m/>
    <m/>
    <s v=""/>
    <n v="0"/>
    <s v=""/>
    <n v="0"/>
    <m/>
    <n v="0"/>
    <s v=""/>
    <n v="0"/>
    <n v="0"/>
    <s v=""/>
    <n v="0"/>
    <n v="0"/>
    <n v="0"/>
    <s v="No Cur"/>
    <s v=""/>
    <n v="0"/>
    <m/>
    <m/>
  </r>
  <r>
    <x v="1"/>
    <x v="1"/>
    <x v="1"/>
    <m/>
    <m/>
    <m/>
    <x v="1"/>
    <m/>
    <m/>
    <m/>
    <n v="0"/>
    <m/>
    <n v="0"/>
    <s v="No Cur"/>
    <m/>
    <m/>
    <n v="0"/>
    <m/>
    <m/>
    <s v=""/>
    <n v="0"/>
    <s v=""/>
    <n v="0"/>
    <m/>
    <n v="0"/>
    <s v=""/>
    <n v="0"/>
    <n v="0"/>
    <s v=""/>
    <n v="0"/>
    <n v="0"/>
    <n v="0"/>
    <s v="No Cur"/>
    <s v=""/>
    <n v="0"/>
    <m/>
    <m/>
  </r>
  <r>
    <x v="1"/>
    <x v="1"/>
    <x v="1"/>
    <m/>
    <m/>
    <m/>
    <x v="1"/>
    <m/>
    <m/>
    <m/>
    <n v="0"/>
    <m/>
    <n v="0"/>
    <s v="No Cur"/>
    <m/>
    <m/>
    <n v="0"/>
    <m/>
    <m/>
    <s v=""/>
    <n v="0"/>
    <s v=""/>
    <n v="0"/>
    <m/>
    <n v="0"/>
    <s v=""/>
    <n v="0"/>
    <n v="0"/>
    <s v=""/>
    <n v="0"/>
    <n v="0"/>
    <n v="0"/>
    <s v="No Cur"/>
    <s v=""/>
    <n v="0"/>
    <m/>
    <m/>
  </r>
  <r>
    <x v="1"/>
    <x v="1"/>
    <x v="1"/>
    <m/>
    <m/>
    <m/>
    <x v="1"/>
    <m/>
    <m/>
    <m/>
    <n v="0"/>
    <m/>
    <n v="0"/>
    <s v="No Cur"/>
    <m/>
    <m/>
    <n v="0"/>
    <m/>
    <m/>
    <s v=""/>
    <n v="0"/>
    <s v=""/>
    <n v="0"/>
    <m/>
    <n v="0"/>
    <s v=""/>
    <n v="0"/>
    <n v="0"/>
    <s v=""/>
    <n v="0"/>
    <n v="0"/>
    <n v="0"/>
    <s v="No Cur"/>
    <s v=""/>
    <n v="0"/>
    <m/>
    <m/>
  </r>
  <r>
    <x v="1"/>
    <x v="1"/>
    <x v="1"/>
    <m/>
    <m/>
    <m/>
    <x v="1"/>
    <m/>
    <m/>
    <m/>
    <n v="0"/>
    <m/>
    <n v="0"/>
    <s v="No Cur"/>
    <m/>
    <m/>
    <n v="0"/>
    <m/>
    <m/>
    <s v=""/>
    <n v="0"/>
    <s v=""/>
    <n v="0"/>
    <m/>
    <n v="0"/>
    <s v=""/>
    <n v="0"/>
    <n v="0"/>
    <s v=""/>
    <n v="0"/>
    <n v="0"/>
    <n v="0"/>
    <s v="No Cur"/>
    <s v=""/>
    <n v="0"/>
    <m/>
    <m/>
  </r>
  <r>
    <x v="1"/>
    <x v="1"/>
    <x v="1"/>
    <m/>
    <m/>
    <m/>
    <x v="1"/>
    <m/>
    <m/>
    <m/>
    <n v="0"/>
    <m/>
    <n v="0"/>
    <s v="No Cur"/>
    <m/>
    <m/>
    <n v="0"/>
    <m/>
    <m/>
    <s v=""/>
    <n v="0"/>
    <s v=""/>
    <n v="0"/>
    <m/>
    <n v="0"/>
    <s v=""/>
    <n v="0"/>
    <n v="0"/>
    <s v=""/>
    <n v="0"/>
    <n v="0"/>
    <n v="0"/>
    <s v="No Cur"/>
    <s v=""/>
    <n v="0"/>
    <m/>
    <m/>
  </r>
  <r>
    <x v="1"/>
    <x v="1"/>
    <x v="1"/>
    <m/>
    <m/>
    <m/>
    <x v="1"/>
    <m/>
    <m/>
    <m/>
    <n v="0"/>
    <m/>
    <n v="0"/>
    <s v="No Cur"/>
    <m/>
    <m/>
    <n v="0"/>
    <m/>
    <m/>
    <s v=""/>
    <n v="0"/>
    <s v=""/>
    <n v="0"/>
    <m/>
    <n v="0"/>
    <s v=""/>
    <n v="0"/>
    <n v="0"/>
    <s v=""/>
    <n v="0"/>
    <n v="0"/>
    <n v="0"/>
    <s v="No Cur"/>
    <s v=""/>
    <n v="0"/>
    <m/>
    <m/>
  </r>
  <r>
    <x v="1"/>
    <x v="1"/>
    <x v="1"/>
    <m/>
    <m/>
    <m/>
    <x v="1"/>
    <m/>
    <m/>
    <m/>
    <n v="0"/>
    <m/>
    <n v="0"/>
    <s v="No Cur"/>
    <m/>
    <m/>
    <n v="0"/>
    <m/>
    <m/>
    <s v=""/>
    <n v="0"/>
    <s v=""/>
    <n v="0"/>
    <m/>
    <n v="0"/>
    <s v=""/>
    <n v="0"/>
    <n v="0"/>
    <s v=""/>
    <n v="0"/>
    <n v="0"/>
    <n v="0"/>
    <s v="No Cur"/>
    <s v=""/>
    <n v="0"/>
    <m/>
    <m/>
  </r>
  <r>
    <x v="1"/>
    <x v="1"/>
    <x v="1"/>
    <m/>
    <m/>
    <m/>
    <x v="1"/>
    <m/>
    <m/>
    <m/>
    <n v="0"/>
    <m/>
    <n v="0"/>
    <s v="No Cur"/>
    <m/>
    <m/>
    <n v="0"/>
    <m/>
    <m/>
    <s v=""/>
    <n v="0"/>
    <s v=""/>
    <n v="0"/>
    <m/>
    <n v="0"/>
    <s v=""/>
    <n v="0"/>
    <n v="0"/>
    <s v=""/>
    <n v="0"/>
    <n v="0"/>
    <n v="0"/>
    <s v="No Cur"/>
    <s v=""/>
    <n v="0"/>
    <m/>
    <m/>
  </r>
  <r>
    <x v="1"/>
    <x v="1"/>
    <x v="1"/>
    <m/>
    <m/>
    <m/>
    <x v="1"/>
    <m/>
    <m/>
    <m/>
    <n v="0"/>
    <m/>
    <n v="0"/>
    <s v="No Cur"/>
    <m/>
    <m/>
    <n v="0"/>
    <m/>
    <m/>
    <s v=""/>
    <n v="0"/>
    <s v=""/>
    <n v="0"/>
    <m/>
    <n v="0"/>
    <s v=""/>
    <n v="0"/>
    <n v="0"/>
    <s v=""/>
    <n v="0"/>
    <n v="0"/>
    <n v="0"/>
    <s v="No Cur"/>
    <s v=""/>
    <n v="0"/>
    <m/>
    <m/>
  </r>
  <r>
    <x v="1"/>
    <x v="1"/>
    <x v="1"/>
    <m/>
    <m/>
    <m/>
    <x v="1"/>
    <m/>
    <m/>
    <m/>
    <n v="0"/>
    <m/>
    <n v="0"/>
    <s v="No Cur"/>
    <m/>
    <m/>
    <n v="0"/>
    <m/>
    <m/>
    <s v=""/>
    <n v="0"/>
    <s v=""/>
    <n v="0"/>
    <m/>
    <n v="0"/>
    <s v=""/>
    <n v="0"/>
    <n v="0"/>
    <s v=""/>
    <n v="0"/>
    <n v="0"/>
    <n v="0"/>
    <s v="No Cur"/>
    <s v=""/>
    <n v="0"/>
    <m/>
    <m/>
  </r>
  <r>
    <x v="1"/>
    <x v="1"/>
    <x v="1"/>
    <m/>
    <m/>
    <m/>
    <x v="1"/>
    <m/>
    <m/>
    <m/>
    <n v="0"/>
    <m/>
    <n v="0"/>
    <s v="No Cur"/>
    <m/>
    <m/>
    <n v="0"/>
    <m/>
    <m/>
    <s v=""/>
    <n v="0"/>
    <s v=""/>
    <n v="0"/>
    <m/>
    <n v="0"/>
    <s v=""/>
    <n v="0"/>
    <n v="0"/>
    <s v=""/>
    <n v="0"/>
    <n v="0"/>
    <n v="0"/>
    <s v="No Cur"/>
    <s v=""/>
    <n v="0"/>
    <m/>
    <m/>
  </r>
  <r>
    <x v="1"/>
    <x v="1"/>
    <x v="1"/>
    <m/>
    <m/>
    <m/>
    <x v="1"/>
    <m/>
    <m/>
    <m/>
    <n v="0"/>
    <m/>
    <n v="0"/>
    <s v="No Cur"/>
    <m/>
    <m/>
    <n v="0"/>
    <m/>
    <m/>
    <s v=""/>
    <n v="0"/>
    <s v=""/>
    <n v="0"/>
    <m/>
    <n v="0"/>
    <s v=""/>
    <n v="0"/>
    <n v="0"/>
    <s v=""/>
    <n v="0"/>
    <n v="0"/>
    <n v="0"/>
    <s v="No Cur"/>
    <s v=""/>
    <n v="0"/>
    <m/>
    <m/>
  </r>
  <r>
    <x v="1"/>
    <x v="1"/>
    <x v="1"/>
    <m/>
    <m/>
    <m/>
    <x v="1"/>
    <m/>
    <m/>
    <m/>
    <n v="0"/>
    <m/>
    <n v="0"/>
    <s v="No Cur"/>
    <m/>
    <m/>
    <n v="0"/>
    <m/>
    <m/>
    <s v=""/>
    <n v="0"/>
    <s v=""/>
    <n v="0"/>
    <m/>
    <n v="0"/>
    <s v=""/>
    <n v="0"/>
    <n v="0"/>
    <s v=""/>
    <n v="0"/>
    <n v="0"/>
    <n v="0"/>
    <s v="No Cur"/>
    <s v=""/>
    <n v="0"/>
    <m/>
    <m/>
  </r>
  <r>
    <x v="1"/>
    <x v="1"/>
    <x v="1"/>
    <m/>
    <m/>
    <m/>
    <x v="1"/>
    <m/>
    <m/>
    <m/>
    <n v="0"/>
    <m/>
    <n v="0"/>
    <s v="No Cur"/>
    <m/>
    <m/>
    <n v="0"/>
    <m/>
    <m/>
    <s v=""/>
    <n v="0"/>
    <s v=""/>
    <n v="0"/>
    <m/>
    <n v="0"/>
    <s v=""/>
    <n v="0"/>
    <n v="0"/>
    <s v=""/>
    <n v="0"/>
    <n v="0"/>
    <n v="0"/>
    <s v="No Cur"/>
    <s v=""/>
    <n v="0"/>
    <m/>
    <m/>
  </r>
  <r>
    <x v="1"/>
    <x v="1"/>
    <x v="1"/>
    <m/>
    <m/>
    <m/>
    <x v="1"/>
    <m/>
    <m/>
    <m/>
    <n v="0"/>
    <m/>
    <n v="0"/>
    <s v="No Cur"/>
    <m/>
    <m/>
    <n v="0"/>
    <m/>
    <m/>
    <s v=""/>
    <n v="0"/>
    <s v=""/>
    <n v="0"/>
    <m/>
    <n v="0"/>
    <s v=""/>
    <n v="0"/>
    <n v="0"/>
    <s v=""/>
    <n v="0"/>
    <n v="0"/>
    <n v="0"/>
    <s v="No Cur"/>
    <s v=""/>
    <n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0EA6A8E-F50F-48E6-8C3C-44E7FCF763B2}" name="PivotTable1" cacheId="43" applyNumberFormats="0" applyBorderFormats="0" applyFontFormats="0" applyPatternFormats="0" applyAlignmentFormats="0" applyWidthHeightFormats="1" dataCaption="Values" updatedVersion="8" minRefreshableVersion="3" enableDrill="0" useAutoFormatting="1" itemPrintTitles="1" createdVersion="8" indent="0" outline="1" outlineData="1" multipleFieldFilters="0" rowHeaderCaption="Stocks">
  <location ref="B6:F8" firstHeaderRow="0" firstDataRow="1" firstDataCol="1" rowPageCount="3" colPageCount="1"/>
  <pivotFields count="37">
    <pivotField axis="axisPage" showAll="0">
      <items count="5">
        <item m="1" x="3"/>
        <item x="0"/>
        <item x="1"/>
        <item m="1" x="2"/>
        <item t="default"/>
      </items>
    </pivotField>
    <pivotField axis="axisRow" showAll="0" sortType="ascending">
      <items count="31">
        <item m="1" x="9"/>
        <item m="1" x="14"/>
        <item m="1" x="8"/>
        <item m="1" x="10"/>
        <item m="1" x="15"/>
        <item m="1" x="2"/>
        <item m="1" x="29"/>
        <item m="1" x="17"/>
        <item m="1" x="11"/>
        <item m="1" x="18"/>
        <item m="1" x="12"/>
        <item m="1" x="5"/>
        <item m="1" x="26"/>
        <item m="1" x="19"/>
        <item m="1" x="20"/>
        <item m="1" x="21"/>
        <item m="1" x="22"/>
        <item m="1" x="7"/>
        <item m="1" x="13"/>
        <item m="1" x="27"/>
        <item m="1" x="3"/>
        <item x="0"/>
        <item m="1" x="23"/>
        <item m="1" x="24"/>
        <item m="1" x="4"/>
        <item m="1" x="6"/>
        <item m="1" x="28"/>
        <item m="1" x="25"/>
        <item m="1" x="16"/>
        <item x="1"/>
        <item t="default"/>
      </items>
    </pivotField>
    <pivotField name="Currency" axis="axisPage" showAll="0">
      <items count="9">
        <item m="1" x="2"/>
        <item m="1" x="6"/>
        <item x="0"/>
        <item x="1"/>
        <item m="1" x="7"/>
        <item m="1" x="3"/>
        <item m="1" x="5"/>
        <item m="1" x="4"/>
        <item t="default"/>
      </items>
    </pivotField>
    <pivotField showAll="0"/>
    <pivotField showAll="0"/>
    <pivotField showAll="0"/>
    <pivotField axis="axisPage" showAll="0">
      <items count="9">
        <item m="1" x="2"/>
        <item x="0"/>
        <item x="1"/>
        <item m="1" x="7"/>
        <item m="1" x="6"/>
        <item m="1" x="5"/>
        <item m="1" x="3"/>
        <item m="1" x="4"/>
        <item t="default"/>
      </items>
    </pivotField>
    <pivotField showAll="0"/>
    <pivotField showAll="0"/>
    <pivotField dataField="1" showAll="0"/>
    <pivotField numFmtId="7" showAll="0"/>
    <pivotField dataField="1" showAll="0"/>
    <pivotField numFmtId="10" showAll="0"/>
    <pivotField showAll="0"/>
    <pivotField showAll="0"/>
    <pivotField showAll="0"/>
    <pivotField numFmtId="7" showAll="0"/>
    <pivotField showAll="0"/>
    <pivotField showAll="0"/>
    <pivotField showAll="0"/>
    <pivotField numFmtId="165" showAll="0"/>
    <pivotField showAll="0"/>
    <pivotField numFmtId="10" showAll="0"/>
    <pivotField showAll="0"/>
    <pivotField numFmtId="7" showAll="0"/>
    <pivotField showAll="0"/>
    <pivotField numFmtId="165" showAll="0"/>
    <pivotField numFmtId="165" showAll="0"/>
    <pivotField showAll="0"/>
    <pivotField numFmtId="10" showAll="0"/>
    <pivotField dataField="1" numFmtId="7" showAll="0"/>
    <pivotField numFmtId="7" showAll="0"/>
    <pivotField showAll="0"/>
    <pivotField showAll="0"/>
    <pivotField dataField="1" numFmtId="167" showAll="0"/>
    <pivotField showAll="0"/>
    <pivotField showAll="0"/>
  </pivotFields>
  <rowFields count="1">
    <field x="1"/>
  </rowFields>
  <rowItems count="2">
    <i>
      <x v="21"/>
    </i>
    <i t="grand">
      <x/>
    </i>
  </rowItems>
  <colFields count="1">
    <field x="-2"/>
  </colFields>
  <colItems count="4">
    <i>
      <x/>
    </i>
    <i i="1">
      <x v="1"/>
    </i>
    <i i="2">
      <x v="2"/>
    </i>
    <i i="3">
      <x v="3"/>
    </i>
  </colItems>
  <pageFields count="3">
    <pageField fld="2" hier="-1"/>
    <pageField fld="0" item="1" hier="-1"/>
    <pageField fld="6" hier="-1"/>
  </pageFields>
  <dataFields count="4">
    <dataField name="No. of Shares " fld="9" baseField="0" baseItem="0"/>
    <dataField name="Cost Basis " fld="30" baseField="1" baseItem="1" numFmtId="3"/>
    <dataField name="Average Days" fld="34" subtotal="average" baseField="1" baseItem="0" numFmtId="167"/>
    <dataField name="Position Size " fld="11" baseField="1" baseItem="0" numFmtId="10"/>
  </dataFields>
  <formats count="2">
    <format dxfId="4">
      <pivotArea field="1" type="button" dataOnly="0" labelOnly="1" outline="0" axis="axisRow" fieldPosition="0"/>
    </format>
    <format dxfId="3">
      <pivotArea dataOnly="0" labelOnly="1" outline="0" fieldPosition="0">
        <references count="1">
          <reference field="4294967294" count="3">
            <x v="1"/>
            <x v="2"/>
            <x v="3"/>
          </reference>
        </references>
      </pivotArea>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D5890F1-5381-4CE4-A351-59B9ECA82313}" name="PivotTable2" cacheId="4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Currency ">
  <location ref="N6:P9" firstHeaderRow="0" firstDataRow="1" firstDataCol="1" rowPageCount="2" colPageCount="1"/>
  <pivotFields count="5">
    <pivotField axis="axisRow" allDrilled="1" subtotalTop="0" showAll="0" dataSourceSort="1" defaultSubtotal="0" defaultAttributeDrillState="1">
      <items count="2">
        <item x="0"/>
        <item x="1"/>
      </items>
    </pivotField>
    <pivotField dataField="1" subtotalTop="0" showAll="0" defaultSubtotal="0"/>
    <pivotField axis="axisPage" allDrilled="1" subtotalTop="0" showAll="0" dataSourceSort="1" defaultSubtotal="0" defaultAttributeDrillState="1"/>
    <pivotField axis="axisPage" allDrilled="1" subtotalTop="0" showAll="0" dataSourceSort="1" defaultSubtotal="0" defaultAttributeDrillState="1"/>
    <pivotField dataField="1" subtotalTop="0" showAll="0" defaultSubtotal="0"/>
  </pivotFields>
  <rowFields count="1">
    <field x="0"/>
  </rowFields>
  <rowItems count="3">
    <i>
      <x/>
    </i>
    <i>
      <x v="1"/>
    </i>
    <i t="grand">
      <x/>
    </i>
  </rowItems>
  <colFields count="1">
    <field x="-2"/>
  </colFields>
  <colItems count="2">
    <i>
      <x/>
    </i>
    <i i="1">
      <x v="1"/>
    </i>
  </colItems>
  <pageFields count="2">
    <pageField fld="2" hier="0" name="[tbAllTrades].[Status].&amp;[Open]" cap="Open"/>
    <pageField fld="3" hier="6" name="[tbAllTrades].[Strategy].[All]" cap="All"/>
  </pageFields>
  <dataFields count="2">
    <dataField name="# Shares" fld="1" baseField="0" baseItem="0"/>
    <dataField name="Stocks" fld="4" subtotal="count" baseField="0" baseItem="0">
      <extLst>
        <ext xmlns:x15="http://schemas.microsoft.com/office/spreadsheetml/2010/11/main" uri="{FABC7310-3BB5-11E1-824E-6D434824019B}">
          <x15:dataField isCountDistinct="1"/>
        </ext>
      </extLst>
    </dataField>
  </dataField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caption="# Shares"/>
    <pivotHierarchy dragToData="1"/>
    <pivotHierarchy dragToData="1" caption="Stocks"/>
  </pivotHierarchies>
  <pivotTableStyleInfo name="PivotStyleLight15" showRowHeaders="1" showColHeaders="1" showRowStripes="0" showColStripes="0" showLastColumn="1"/>
  <rowHierarchiesUsage count="1">
    <rowHierarchyUsage hierarchyUsage="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Trading Diary.xlsm!tbAllTrades">
        <x15:activeTabTopLevelEntity name="[tbAllTrades]"/>
      </x15:pivotTableUISettings>
    </ext>
    <ext xmlns:xpdl="http://schemas.microsoft.com/office/spreadsheetml/2016/pivotdefaultlayout" uri="{747A6164-185A-40DC-8AA5-F01512510D54}">
      <xpdl:pivotTableDefinition16 EnabledSubtotalsDefault="0" SubtotalsOnTopDefault="0"/>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DotNotation"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
  <rv s="0">
    <v>0</v>
    <v>AUD/USD</v>
    <v>2</v>
    <v>3</v>
    <v>Finance</v>
    <v>4</v>
    <v>en-AU</v>
    <v>auxr9c</v>
    <v>268435456</v>
    <v>1</v>
    <v>Powered by Refinitiv</v>
    <v>0.72770000000000001</v>
    <v>0.63549999999999995</v>
    <v>7.7000000000000002E-3</v>
    <v>1.0721000000000001E-2</v>
    <v>USD</v>
    <v>AUD</v>
    <v>0.72770000000000001</v>
    <v>Currency Pair</v>
    <v>46148.487268518518</v>
    <v>0.71799999999999997</v>
    <v>Australian Dollar/US Dollar FX Spot Rate</v>
    <v>0.71809999999999996</v>
    <v>0.71819999999999995</v>
    <v>0.72589999999999999</v>
    <v>AUDUSD</v>
    <v>AUD/USD</v>
  </rv>
  <rv s="1">
    <v>0</v>
  </rv>
</rvData>
</file>

<file path=xl/richData/rdrichvaluestructure.xml><?xml version="1.0" encoding="utf-8"?>
<rvStructures xmlns="http://schemas.microsoft.com/office/spreadsheetml/2017/richdata" count="2">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linkedentity">
    <k n="%cvi" t="r"/>
  </s>
</rvStructures>
</file>

<file path=xl/richData/rdsupportingpropertybag.xml><?xml version="1.0" encoding="utf-8"?>
<supportingPropertyBags xmlns="http://schemas.microsoft.com/office/spreadsheetml/2017/richdata2">
  <spbArrays count="1">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spbArrays>
  <spbData count="5">
    <spb s="0">
      <v>0</v>
      <v>Name</v>
    </spb>
    <spb s="1">
      <v>0</v>
      <v>0</v>
      <v>0</v>
    </spb>
    <spb s="2">
      <v>1</v>
      <v>1</v>
    </spb>
    <spb s="3">
      <v>1</v>
      <v>1</v>
      <v>2</v>
      <v>1</v>
      <v>1</v>
      <v>1</v>
      <v>3</v>
      <v>1</v>
      <v>1</v>
      <v>1</v>
      <v>4</v>
      <v>5</v>
    </spb>
    <spb s="4">
      <v>GMT</v>
    </spb>
  </spbData>
</supportingPropertyBags>
</file>

<file path=xl/richData/rdsupportingpropertybagstructure.xml><?xml version="1.0" encoding="utf-8"?>
<spbStructures xmlns="http://schemas.microsoft.com/office/spreadsheetml/2017/richdata2" count="5">
  <s>
    <k n="^Order" t="spba"/>
    <k n="TitleProperty" t="s"/>
  </s>
  <s>
    <k n="ShowInCardView" t="b"/>
    <k n="ShowInDotNotation" t="b"/>
    <k n="ShowInAutoComplete" t="b"/>
  </s>
  <s>
    <k n="UniqueName" t="spb"/>
    <k n="`%ProviderInfo" t="spb"/>
  </s>
  <s>
    <k n="Low" t="i"/>
    <k n="High" t="i"/>
    <k n="Name" t="i"/>
    <k n="Open" t="i"/>
    <k n="Price" t="i"/>
    <k n="Change" t="i"/>
    <k n="Change (%)" t="i"/>
    <k n="52 week low" t="i"/>
    <k n="52 week high" t="i"/>
    <k n="Previous close" t="i"/>
    <k n="Last trade time" t="i"/>
    <k n="`%EntityServiceId" t="i"/>
  </s>
  <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
    <x:dxf>
      <x:numFmt numFmtId="2" formatCode="0.00"/>
    </x:dxf>
    <x:dxf>
      <x:numFmt numFmtId="0" formatCode="General"/>
    </x:dxf>
    <x:dxf>
      <x:numFmt numFmtId="27" formatCode="m/d/yy\ h:mm"/>
    </x:dxf>
    <x:dxf>
      <x:numFmt numFmtId="14" formatCode="0.00%"/>
    </x:dxf>
  </dxfs>
  <richProperties>
    <rPr n="NumberFormat" t="s"/>
    <rPr n="IsTitleField" t="b"/>
  </richProperties>
  <richStyles>
    <rSty dxfid="1">
      <rpv i="0">_([$$-en-US]* #,##0.00_);_([$$-en-US]* (#,##0.00);_([$$-en-US]* "-"??_);_(@_)</rpv>
    </rSty>
    <rSty>
      <rpv i="1">1</rpv>
    </rSty>
    <rSty dxfid="3"/>
    <rSty dxfid="2"/>
    <rSty dxfid="0">
      <rpv i="0">0.00</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AllTrades" displayName="tbAllTrades" ref="A8:AK31" totalsRowShown="0" headerRowDxfId="43" dataDxfId="42">
  <sortState xmlns:xlrd2="http://schemas.microsoft.com/office/spreadsheetml/2017/richdata2" ref="A9:AK11">
    <sortCondition ref="A9:A11" customList="Open,Closed"/>
    <sortCondition ref="B9:B11"/>
    <sortCondition descending="1" ref="G9:G11"/>
    <sortCondition descending="1" ref="H9:H11"/>
  </sortState>
  <tableColumns count="37">
    <tableColumn id="1" xr3:uid="{00000000-0010-0000-0000-000001000000}" name="Status" dataDxfId="41"/>
    <tableColumn id="2" xr3:uid="{00000000-0010-0000-0000-000002000000}" name="Stock" dataDxfId="40"/>
    <tableColumn id="26" xr3:uid="{AB32DC4B-F0EF-4384-B0A4-2948447A92AA}" name="Cur" dataDxfId="39"/>
    <tableColumn id="3" xr3:uid="{00000000-0010-0000-0000-000003000000}" name="Name" dataDxfId="38"/>
    <tableColumn id="4" xr3:uid="{00000000-0010-0000-0000-000004000000}" name="Sector" dataDxfId="37"/>
    <tableColumn id="5" xr3:uid="{00000000-0010-0000-0000-000005000000}" name="Industry" dataDxfId="36"/>
    <tableColumn id="28" xr3:uid="{397DC829-9881-4EAF-8CC2-142109CCB36F}" name="Strategy" dataDxfId="35"/>
    <tableColumn id="6" xr3:uid="{00000000-0010-0000-0000-000006000000}" name="Entry Date" dataDxfId="34"/>
    <tableColumn id="7" xr3:uid="{00000000-0010-0000-0000-000007000000}" name="Entry Price" dataDxfId="33"/>
    <tableColumn id="8" xr3:uid="{00000000-0010-0000-0000-000008000000}" name="No. of Shares" dataDxfId="32"/>
    <tableColumn id="9" xr3:uid="{00000000-0010-0000-0000-000009000000}" name="Investment In" dataDxfId="31">
      <calculatedColumnFormula>tbAllTrades[[#This Row],[Entry Price]]*tbAllTrades[[#This Row],[No. of Shares]]</calculatedColumnFormula>
    </tableColumn>
    <tableColumn id="17" xr3:uid="{00000000-0010-0000-0000-000011000000}" name="Position Size" dataDxfId="30"/>
    <tableColumn id="22" xr3:uid="{00000000-0010-0000-0000-000016000000}" name="Combined Pos Size" dataDxfId="29">
      <calculatedColumnFormula>IF(tbAllTrades[[#This Row],[Strategy]]&lt;&gt;"",
SUMIFS(tbAllTrades[Position Size],tbAllTrades[Exit Date],"="&amp; tbAllTrades[[#This Row],[Exit Date]],tbAllTrades[Stock],tbAllTrades[[#This Row],[Stock]],tbAllTrades[Strategy],tbAllTrades[[#This Row],[Strategy]]),
SUMIFS(tbAllTrades[Position Size],tbAllTrades[Exit Date],"="&amp; tbAllTrades[[#This Row],[Exit Date]],tbAllTrades[Stock],tbAllTrades[[#This Row],[Stock]]))</calculatedColumnFormula>
    </tableColumn>
    <tableColumn id="30" xr3:uid="{B2ECDB77-44C1-496B-B462-DAC216C3CF1F}" name="% of Portfolio" dataDxfId="28">
      <calculatedColumnFormula>IFERROR(tbAllTrades[[#This Row],[Cost Basis Com in Base Curr]]/Portfolio_Balance,"No Cur")</calculatedColumnFormula>
    </tableColumn>
    <tableColumn id="10" xr3:uid="{00000000-0010-0000-0000-00000A000000}" name="Exit Date" dataDxfId="27"/>
    <tableColumn id="11" xr3:uid="{00000000-0010-0000-0000-00000B000000}" name="Exit Price" dataDxfId="26"/>
    <tableColumn id="12" xr3:uid="{00000000-0010-0000-0000-00000C000000}" name="Investment Out" dataDxfId="25">
      <calculatedColumnFormula>tbAllTrades[[#This Row],[Exit Price]]*tbAllTrades[[#This Row],[No. of Shares]]</calculatedColumnFormula>
    </tableColumn>
    <tableColumn id="21" xr3:uid="{00000000-0010-0000-0000-000015000000}" name="Short Sold" dataDxfId="24"/>
    <tableColumn id="25" xr3:uid="{00000000-0010-0000-0000-000019000000}" name="Commission" dataDxfId="23"/>
    <tableColumn id="33" xr3:uid="{37CD9304-85C9-4286-B359-4755E442995F}" name="ROI ($)" dataDxfId="22">
      <calculatedColumnFormula>IF(tbAllTrades[[#This Row],[Exit Price]]="","",IF(tbAllTrades[[#This Row],[Short Sold]]&lt;&gt;"",tbAllTrades[[#This Row],[Cost Basis]]-tbAllTrades[[#This Row],[Investment Out]],tbAllTrades[[#This Row],[Investment Out]]-tbAllTrades[[#This Row],[Cost Basis]]))</calculatedColumnFormula>
    </tableColumn>
    <tableColumn id="34" xr3:uid="{198FC850-F812-4EEA-9DCE-CC9750DBF952}" name="Combined ROI ($)" dataDxfId="21">
      <calculatedColumnFormula>IF(tbAllTrades[[#This Row],[Strategy]]&lt;&gt;"",
(SUMIFS(tbAllTrades[ROI ($)],tbAllTrades[Exit Date],"="&amp; tbAllTrades[[#This Row],[Exit Date]],tbAllTrades[Stock],tbAllTrades[[#This Row],[Stock]],tbAllTrades[Strategy],tbAllTrades[[#This Row],[Strategy]])),
(SUMIFS(tbAllTrades[ROI ($)],tbAllTrades[Exit Date],"="&amp; tbAllTrades[[#This Row],[Exit Date]],tbAllTrades[Stock],tbAllTrades[[#This Row],[Stock]])))</calculatedColumnFormula>
    </tableColumn>
    <tableColumn id="35" xr3:uid="{CBB3B94B-2FC6-4D34-807E-9B30AEF6CE0B}" name="ROI (%)" dataDxfId="20">
      <calculatedColumnFormula>IF(tbAllTrades[[#This Row],[Exit Price]]="","",(tbAllTrades[[#This Row],[ROI ($)]]/tbAllTrades[[#This Row],[Cost Basis]]))</calculatedColumnFormula>
    </tableColumn>
    <tableColumn id="36" xr3:uid="{9A626D2E-324D-4B0A-8912-8A7115E1FE61}" name="Combined ROI (%)" dataDxfId="19">
      <calculatedColumnFormula>IFERROR((tbAllTrades[[#This Row],[Combined ROI ($)]]/tbAllTrades[[#This Row],[Cost Basis Combined]]),0)</calculatedColumnFormula>
    </tableColumn>
    <tableColumn id="13" xr3:uid="{00000000-0010-0000-0000-00000D000000}" name="Dividends (cents)" dataDxfId="18"/>
    <tableColumn id="20" xr3:uid="{00000000-0010-0000-0000-000014000000}" name="Dividend Total" dataDxfId="17">
      <calculatedColumnFormula>tbAllTrades[[#This Row],[Dividends (cents)]]*tbAllTrades[[#This Row],[No. of Shares]]</calculatedColumnFormula>
    </tableColumn>
    <tableColumn id="14" xr3:uid="{00000000-0010-0000-0000-00000E000000}" name="ROI ($) + Dividend" dataDxfId="16">
      <calculatedColumnFormula>IF(tbAllTrades[[#This Row],[Exit Price]]="","",IF(tbAllTrades[[#This Row],[Short Sold]]&lt;&gt;"",tbAllTrades[[#This Row],[Investment In]]-tbAllTrades[[#This Row],[Investment Out]]-tbAllTrades[[#This Row],[Dividend Total]]-tbAllTrades[[#This Row],[Commission]],tbAllTrades[[#This Row],[Investment Out]]-tbAllTrades[[#This Row],[Investment In]]+tbAllTrades[[#This Row],[Dividend Total]]-tbAllTrades[[#This Row],[Commission]]))</calculatedColumnFormula>
    </tableColumn>
    <tableColumn id="24" xr3:uid="{00000000-0010-0000-0000-000018000000}" name="Comb ROI ($) + Div by Strat" dataDxfId="15">
      <calculatedColumnFormula>IF(tbAllTrades[[#This Row],[Strategy]]&lt;&gt;"",(SUMIFS(tbAllTrades[ROI ($) + Dividend],tbAllTrades[Exit Date],"="&amp; tbAllTrades[[#This Row],[Exit Date]],tbAllTrades[Stock],tbAllTrades[[#This Row],[Stock]],tbAllTrades[Strategy],tbAllTrades[[#This Row],[Strategy]])),(SUMIFS(tbAllTrades[ROI ($) + Dividend],tbAllTrades[Exit Date],"="&amp; tbAllTrades[[#This Row],[Exit Date]],tbAllTrades[Stock],tbAllTrades[[#This Row],[Stock]])))</calculatedColumnFormula>
    </tableColumn>
    <tableColumn id="38" xr3:uid="{FDADC0DE-5176-4EE1-A542-13FF6098FA1F}" name="Comb ROI ($) + Div by Stock" dataDxfId="14">
      <calculatedColumnFormula>SUMIFS(tbAllTrades[ROI ($) + Dividend],tbAllTrades[Exit Date],"="&amp; tbAllTrades[[#This Row],[Exit Date]],tbAllTrades[Stock],tbAllTrades[[#This Row],[Stock]])</calculatedColumnFormula>
    </tableColumn>
    <tableColumn id="15" xr3:uid="{00000000-0010-0000-0000-00000F000000}" name="ROI (%) + Dividend" dataDxfId="13">
      <calculatedColumnFormula>IF(tbAllTrades[[#This Row],[Exit Price]]="","",(tbAllTrades[[#This Row],[ROI ($) + Dividend]]/tbAllTrades[[#This Row],[Cost Basis]]))</calculatedColumnFormula>
    </tableColumn>
    <tableColumn id="23" xr3:uid="{00000000-0010-0000-0000-000017000000}" name="Combined ROI (%) + Div" dataDxfId="12">
      <calculatedColumnFormula>IFERROR((tbAllTrades[[#This Row],[Comb ROI ($) + Div by Strat]]/tbAllTrades[[#This Row],[Cost Basis Combined]]),0)</calculatedColumnFormula>
    </tableColumn>
    <tableColumn id="29" xr3:uid="{873FAFC8-75F7-426D-A7E3-0BB97B8D7C44}" name="Cost Basis" dataDxfId="11">
      <calculatedColumnFormula>tbAllTrades[[#This Row],[Investment In]]+tbAllTrades[[#This Row],[Commission]]</calculatedColumnFormula>
    </tableColumn>
    <tableColumn id="31" xr3:uid="{E361994D-1B72-432A-8900-3FD13BEAD09F}" name="Cost Basis Combined" dataDxfId="10">
      <calculatedColumnFormula>IF(tbAllTrades[[#This Row],[Strategy]]&lt;&gt;"",
SUMIFS(tbAllTrades[Cost Basis],tbAllTrades[Exit Date],"="&amp; tbAllTrades[[#This Row],[Exit Date]],tbAllTrades[Stock],tbAllTrades[[#This Row],[Stock]],tbAllTrades[Strategy],tbAllTrades[[#This Row],[Strategy]]),
SUMIFS(tbAllTrades[Cost Basis],tbAllTrades[Exit Date],"="&amp; tbAllTrades[[#This Row],[Exit Date]],tbAllTrades[Stock],tbAllTrades[[#This Row],[Stock]]))</calculatedColumnFormula>
    </tableColumn>
    <tableColumn id="32" xr3:uid="{838719CE-E9ED-4838-BD55-82AB6CC1112C}" name="Cost Basis Com in Base Curr" dataDxfId="9">
      <calculatedColumnFormula>IFERROR(tbAllTrades[[#This Row],[Cost Basis Combined]]/(_xlfn.XLOOKUP(tbAllTrades[[#This Row],[Cur]],tbExchangeRate[Currency],tbExchangeRate[Exchange Rate],,0,1)),"No Cur")</calculatedColumnFormula>
    </tableColumn>
    <tableColumn id="16" xr3:uid="{00000000-0010-0000-0000-000010000000}" name="Annualised" dataDxfId="8">
      <calculatedColumnFormula>IFERROR(IF(tbAllTrades[[#This Row],[Exit Price]]="","",(tbAllTrades[[#This Row],[ROI (%) + Dividend]]*(365/tbAllTrades[[#This Row],[Days]]))),0)</calculatedColumnFormula>
    </tableColumn>
    <tableColumn id="18" xr3:uid="{00000000-0010-0000-0000-000012000000}" name="Days" dataDxfId="7">
      <calculatedColumnFormula>IF(tbAllTrades[[#This Row],[Exit Date]]&lt;&gt;"",tbAllTrades[[#This Row],[Exit Date]]-tbAllTrades[[#This Row],[Entry Date]],IF(TodaysDate-tbAllTrades[[#This Row],[Entry Date]]&gt;40000,0,TodaysDate-tbAllTrades[[#This Row],[Entry Date]]))</calculatedColumnFormula>
    </tableColumn>
    <tableColumn id="19" xr3:uid="{00000000-0010-0000-0000-000013000000}" name="Comments" dataDxfId="6"/>
    <tableColumn id="27" xr3:uid="{51F56AA3-A96B-4D1B-BA47-BC71CAC60952}" name="Spare" dataDxfId="5"/>
  </tableColumns>
  <tableStyleInfo name="Trading Diary"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DFF710D-69EA-4A55-AF82-475B083EF646}" name="tbExchangeRate" displayName="tbExchangeRate" ref="AI6:AK11" totalsRowShown="0" headerRowDxfId="2" tableBorderDxfId="1">
  <tableColumns count="3">
    <tableColumn id="1" xr3:uid="{6E279112-C7BE-4252-9346-E50FED3385ED}" name="Currency"/>
    <tableColumn id="2" xr3:uid="{A0276734-0158-414F-B231-C405F5A2C541}" name="Currency Pair"/>
    <tableColumn id="3" xr3:uid="{F0BE35F2-DB73-414B-A3F3-1CCFFBEF34E5}" name="Exchange Rate" dataDxfId="0">
      <calculatedColumnFormula array="1">IF(AI7="","",_FV(AJ7,"Price"))</calculatedColumn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theFreedomTrader">
      <a:dk1>
        <a:sysClr val="windowText" lastClr="000000"/>
      </a:dk1>
      <a:lt1>
        <a:sysClr val="window" lastClr="FFFFFF"/>
      </a:lt1>
      <a:dk2>
        <a:srgbClr val="3E3D2D"/>
      </a:dk2>
      <a:lt2>
        <a:srgbClr val="1F2833"/>
      </a:lt2>
      <a:accent1>
        <a:srgbClr val="9D90A0"/>
      </a:accent1>
      <a:accent2>
        <a:srgbClr val="1B9F80"/>
      </a:accent2>
      <a:accent3>
        <a:srgbClr val="F8AD00"/>
      </a:accent3>
      <a:accent4>
        <a:srgbClr val="23789E"/>
      </a:accent4>
      <a:accent5>
        <a:srgbClr val="3EA2BE"/>
      </a:accent5>
      <a:accent6>
        <a:srgbClr val="C41300"/>
      </a:accent6>
      <a:hlink>
        <a:srgbClr val="004E89"/>
      </a:hlink>
      <a:folHlink>
        <a:srgbClr val="004E89"/>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B1" dT="2025-09-05T01:41:32.65" personId="{97BBE6DE-FD1D-461F-A285-1BBF70C6604B}" id="{3528158B-5568-423D-B620-A53E73F04B64}">
    <text>If you have a Mac click the plus sign above.</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2.xml"/><Relationship Id="rId16" Type="http://schemas.openxmlformats.org/officeDocument/2006/relationships/ctrlProp" Target="../ctrlProps/ctrlProp1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vmlDrawing" Target="../drawings/vmlDrawing2.vml"/><Relationship Id="rId7" Type="http://schemas.openxmlformats.org/officeDocument/2006/relationships/ctrlProp" Target="../ctrlProps/ctrlProp18.xml"/><Relationship Id="rId12" Type="http://schemas.openxmlformats.org/officeDocument/2006/relationships/ctrlProp" Target="../ctrlProps/ctrlProp2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7.xml"/><Relationship Id="rId11" Type="http://schemas.openxmlformats.org/officeDocument/2006/relationships/ctrlProp" Target="../ctrlProps/ctrlProp22.xml"/><Relationship Id="rId5" Type="http://schemas.openxmlformats.org/officeDocument/2006/relationships/ctrlProp" Target="../ctrlProps/ctrlProp16.xml"/><Relationship Id="rId10" Type="http://schemas.openxmlformats.org/officeDocument/2006/relationships/ctrlProp" Target="../ctrlProps/ctrlProp21.xml"/><Relationship Id="rId4" Type="http://schemas.openxmlformats.org/officeDocument/2006/relationships/ctrlProp" Target="../ctrlProps/ctrlProp15.xml"/><Relationship Id="rId9" Type="http://schemas.openxmlformats.org/officeDocument/2006/relationships/ctrlProp" Target="../ctrlProps/ctrlProp20.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8.xml"/><Relationship Id="rId3" Type="http://schemas.openxmlformats.org/officeDocument/2006/relationships/vmlDrawing" Target="../drawings/vmlDrawing3.vml"/><Relationship Id="rId7" Type="http://schemas.openxmlformats.org/officeDocument/2006/relationships/ctrlProp" Target="../ctrlProps/ctrlProp27.xml"/><Relationship Id="rId12" Type="http://schemas.openxmlformats.org/officeDocument/2006/relationships/ctrlProp" Target="../ctrlProps/ctrlProp32.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26.xml"/><Relationship Id="rId11" Type="http://schemas.openxmlformats.org/officeDocument/2006/relationships/ctrlProp" Target="../ctrlProps/ctrlProp31.xml"/><Relationship Id="rId5" Type="http://schemas.openxmlformats.org/officeDocument/2006/relationships/ctrlProp" Target="../ctrlProps/ctrlProp25.xml"/><Relationship Id="rId10" Type="http://schemas.openxmlformats.org/officeDocument/2006/relationships/ctrlProp" Target="../ctrlProps/ctrlProp30.xml"/><Relationship Id="rId4" Type="http://schemas.openxmlformats.org/officeDocument/2006/relationships/ctrlProp" Target="../ctrlProps/ctrlProp24.xml"/><Relationship Id="rId9" Type="http://schemas.openxmlformats.org/officeDocument/2006/relationships/ctrlProp" Target="../ctrlProps/ctrlProp29.xml"/></Relationships>
</file>

<file path=xl/worksheets/_rels/sheet5.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printerSettings" Target="../printerSettings/printerSettings5.bin"/><Relationship Id="rId7" Type="http://schemas.openxmlformats.org/officeDocument/2006/relationships/comments" Target="../comments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2.xml"/><Relationship Id="rId5" Type="http://schemas.openxmlformats.org/officeDocument/2006/relationships/vmlDrawing" Target="../drawings/vmlDrawing4.vml"/><Relationship Id="rId4"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3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autoPageBreaks="0" fitToPage="1"/>
  </sheetPr>
  <dimension ref="A1:G98"/>
  <sheetViews>
    <sheetView showGridLines="0" workbookViewId="0">
      <selection activeCell="B1" sqref="B1"/>
    </sheetView>
  </sheetViews>
  <sheetFormatPr baseColWidth="10" defaultColWidth="0" defaultRowHeight="15"/>
  <cols>
    <col min="1" max="1" width="4" customWidth="1"/>
    <col min="2" max="2" width="9" customWidth="1"/>
    <col min="3" max="3" width="26.83203125" customWidth="1"/>
    <col min="4" max="4" width="35.33203125" customWidth="1"/>
    <col min="5" max="5" width="71" customWidth="1"/>
    <col min="6" max="7" width="9" customWidth="1"/>
    <col min="8" max="16384" width="9" hidden="1"/>
  </cols>
  <sheetData>
    <row r="1" spans="2:5">
      <c r="B1" s="305" t="s">
        <v>142</v>
      </c>
      <c r="C1" s="305"/>
      <c r="D1" s="305"/>
    </row>
    <row r="2" spans="2:5">
      <c r="B2" s="3"/>
      <c r="C2" s="1"/>
      <c r="D2" s="4"/>
      <c r="E2" s="4"/>
    </row>
    <row r="3" spans="2:5">
      <c r="B3" s="178">
        <v>1</v>
      </c>
      <c r="C3" s="1" t="s">
        <v>138</v>
      </c>
      <c r="D3" s="4"/>
      <c r="E3" s="4"/>
    </row>
    <row r="4" spans="2:5">
      <c r="B4" s="3"/>
      <c r="C4" s="1"/>
      <c r="D4" s="4"/>
      <c r="E4" s="4"/>
    </row>
    <row r="5" spans="2:5" ht="15" customHeight="1">
      <c r="B5" s="178">
        <v>2</v>
      </c>
      <c r="C5" s="177" t="s">
        <v>54</v>
      </c>
      <c r="D5" s="3"/>
      <c r="E5" s="3"/>
    </row>
    <row r="6" spans="2:5" ht="40.5" customHeight="1">
      <c r="B6" s="178"/>
      <c r="C6" s="3"/>
      <c r="D6" s="3"/>
      <c r="E6" s="3"/>
    </row>
    <row r="7" spans="2:5">
      <c r="B7" s="178"/>
      <c r="C7" s="1"/>
      <c r="D7" s="4"/>
      <c r="E7" s="4"/>
    </row>
    <row r="8" spans="2:5">
      <c r="B8" s="179">
        <v>3</v>
      </c>
      <c r="C8" s="4" t="s">
        <v>77</v>
      </c>
      <c r="D8" s="4"/>
      <c r="E8" s="4"/>
    </row>
    <row r="9" spans="2:5" ht="37.5" customHeight="1">
      <c r="B9" s="178"/>
      <c r="C9" s="3"/>
      <c r="D9" s="3"/>
      <c r="E9" s="3"/>
    </row>
    <row r="10" spans="2:5" ht="31.5" customHeight="1">
      <c r="B10" s="182">
        <v>4</v>
      </c>
      <c r="C10" s="222" t="s">
        <v>139</v>
      </c>
      <c r="D10" s="222"/>
      <c r="E10" s="222"/>
    </row>
    <row r="11" spans="2:5">
      <c r="B11" s="178"/>
      <c r="C11" s="3"/>
      <c r="D11" s="3"/>
      <c r="E11" s="3"/>
    </row>
    <row r="12" spans="2:5">
      <c r="B12" s="178">
        <v>5</v>
      </c>
      <c r="C12" s="1" t="s">
        <v>76</v>
      </c>
      <c r="D12" s="4"/>
      <c r="E12" s="4"/>
    </row>
    <row r="13" spans="2:5">
      <c r="B13" s="178"/>
      <c r="C13" s="180"/>
      <c r="D13" s="4"/>
      <c r="E13" s="4"/>
    </row>
    <row r="14" spans="2:5">
      <c r="B14" s="178">
        <v>6</v>
      </c>
      <c r="C14" s="180" t="s">
        <v>53</v>
      </c>
      <c r="D14" s="4"/>
      <c r="E14" s="4"/>
    </row>
    <row r="15" spans="2:5">
      <c r="B15" s="178"/>
      <c r="C15" s="180"/>
      <c r="D15" s="4"/>
      <c r="E15" s="4"/>
    </row>
    <row r="16" spans="2:5" ht="16.5" customHeight="1">
      <c r="B16" s="178">
        <v>7</v>
      </c>
      <c r="C16" s="181" t="s">
        <v>67</v>
      </c>
      <c r="D16" s="4"/>
      <c r="E16" s="4"/>
    </row>
    <row r="17" spans="2:5">
      <c r="B17" s="178"/>
      <c r="C17" s="3"/>
      <c r="D17" s="3"/>
      <c r="E17" s="3"/>
    </row>
    <row r="18" spans="2:5">
      <c r="B18" s="178">
        <v>8</v>
      </c>
      <c r="C18" s="180" t="s">
        <v>68</v>
      </c>
      <c r="D18" s="3"/>
      <c r="E18" s="3"/>
    </row>
    <row r="19" spans="2:5">
      <c r="B19" s="178"/>
      <c r="C19" s="180"/>
      <c r="D19" s="3"/>
      <c r="E19" s="3"/>
    </row>
    <row r="20" spans="2:5" ht="33" customHeight="1">
      <c r="B20" s="182">
        <v>9</v>
      </c>
      <c r="C20" s="309" t="s">
        <v>75</v>
      </c>
      <c r="D20" s="309"/>
      <c r="E20" s="309"/>
    </row>
    <row r="21" spans="2:5">
      <c r="B21" s="178"/>
      <c r="C21" s="3"/>
      <c r="D21" s="3"/>
      <c r="E21" s="3"/>
    </row>
    <row r="22" spans="2:5">
      <c r="B22" s="178"/>
      <c r="C22" s="3"/>
      <c r="D22" s="3"/>
      <c r="E22" s="3"/>
    </row>
    <row r="23" spans="2:5">
      <c r="B23" s="178"/>
      <c r="C23" s="3"/>
      <c r="D23" s="3"/>
      <c r="E23" s="3"/>
    </row>
    <row r="24" spans="2:5">
      <c r="B24" s="178"/>
      <c r="C24" s="3"/>
      <c r="D24" s="3"/>
      <c r="E24" s="3"/>
    </row>
    <row r="25" spans="2:5">
      <c r="B25" s="178"/>
      <c r="C25" s="3"/>
      <c r="D25" s="3"/>
      <c r="E25" s="3"/>
    </row>
    <row r="26" spans="2:5">
      <c r="B26" s="183"/>
    </row>
    <row r="27" spans="2:5" ht="36" customHeight="1">
      <c r="B27" s="182">
        <v>10</v>
      </c>
      <c r="C27" s="184" t="s">
        <v>47</v>
      </c>
      <c r="D27" s="310" t="s">
        <v>55</v>
      </c>
      <c r="E27" s="310"/>
    </row>
    <row r="28" spans="2:5">
      <c r="B28" s="183"/>
    </row>
    <row r="29" spans="2:5">
      <c r="B29" s="183"/>
    </row>
    <row r="30" spans="2:5">
      <c r="B30" s="190"/>
      <c r="C30" s="191"/>
      <c r="D30" s="191"/>
      <c r="E30" s="191"/>
    </row>
    <row r="31" spans="2:5">
      <c r="B31" s="192" t="s">
        <v>61</v>
      </c>
      <c r="C31" s="193"/>
      <c r="D31" s="194"/>
      <c r="E31" s="194"/>
    </row>
    <row r="32" spans="2:5">
      <c r="B32" s="190"/>
      <c r="C32" s="194"/>
      <c r="D32" s="191"/>
      <c r="E32" s="191"/>
    </row>
    <row r="33" spans="2:5">
      <c r="B33" s="190"/>
      <c r="C33" s="194" t="s">
        <v>65</v>
      </c>
      <c r="D33" s="195"/>
      <c r="E33" s="195"/>
    </row>
    <row r="34" spans="2:5">
      <c r="B34" s="190"/>
      <c r="C34" s="194"/>
      <c r="D34" s="191"/>
      <c r="E34" s="191"/>
    </row>
    <row r="35" spans="2:5">
      <c r="B35" s="190"/>
      <c r="C35" s="194" t="s">
        <v>62</v>
      </c>
      <c r="D35" s="191"/>
      <c r="E35" s="191"/>
    </row>
    <row r="36" spans="2:5">
      <c r="B36" s="190"/>
      <c r="C36" s="194"/>
      <c r="D36" s="191"/>
      <c r="E36" s="191"/>
    </row>
    <row r="37" spans="2:5">
      <c r="B37" s="190">
        <v>1</v>
      </c>
      <c r="C37" s="194" t="s">
        <v>73</v>
      </c>
      <c r="D37" s="191"/>
      <c r="E37" s="191"/>
    </row>
    <row r="38" spans="2:5">
      <c r="B38" s="190"/>
      <c r="C38" s="194" t="s">
        <v>63</v>
      </c>
      <c r="D38" s="191"/>
      <c r="E38" s="191"/>
    </row>
    <row r="39" spans="2:5">
      <c r="B39" s="190"/>
      <c r="C39" s="194" t="s">
        <v>64</v>
      </c>
      <c r="D39" s="191"/>
      <c r="E39" s="191"/>
    </row>
    <row r="40" spans="2:5">
      <c r="B40" s="190"/>
      <c r="C40" s="194" t="s">
        <v>107</v>
      </c>
      <c r="D40" s="191"/>
      <c r="E40" s="191"/>
    </row>
    <row r="41" spans="2:5">
      <c r="B41" s="190"/>
      <c r="C41" s="196"/>
      <c r="D41" s="191"/>
      <c r="E41" s="191"/>
    </row>
    <row r="42" spans="2:5">
      <c r="B42" s="190">
        <v>2</v>
      </c>
      <c r="C42" s="194" t="s">
        <v>108</v>
      </c>
      <c r="D42" s="191"/>
      <c r="E42" s="191"/>
    </row>
    <row r="43" spans="2:5">
      <c r="B43" s="190"/>
      <c r="C43" s="194"/>
      <c r="D43" s="191"/>
      <c r="E43" s="191"/>
    </row>
    <row r="44" spans="2:5">
      <c r="B44" s="190">
        <v>3</v>
      </c>
      <c r="C44" s="194" t="s">
        <v>109</v>
      </c>
      <c r="D44" s="191"/>
      <c r="E44" s="191"/>
    </row>
    <row r="45" spans="2:5">
      <c r="B45" s="190"/>
      <c r="C45" s="194" t="s">
        <v>66</v>
      </c>
      <c r="D45" s="197"/>
      <c r="E45" s="197"/>
    </row>
    <row r="46" spans="2:5">
      <c r="B46" s="190"/>
      <c r="C46" s="194"/>
      <c r="D46" s="197"/>
      <c r="E46" s="197"/>
    </row>
    <row r="47" spans="2:5">
      <c r="B47" s="190">
        <v>4</v>
      </c>
      <c r="C47" s="194" t="s">
        <v>126</v>
      </c>
      <c r="D47" s="197"/>
      <c r="E47" s="197"/>
    </row>
    <row r="48" spans="2:5">
      <c r="B48" s="190"/>
      <c r="C48" s="191"/>
      <c r="D48" s="191"/>
      <c r="E48" s="191"/>
    </row>
    <row r="49" spans="2:5">
      <c r="B49" s="190">
        <v>5</v>
      </c>
      <c r="C49" s="194" t="s">
        <v>74</v>
      </c>
      <c r="D49" s="191"/>
      <c r="E49" s="191"/>
    </row>
    <row r="50" spans="2:5">
      <c r="B50" s="190"/>
      <c r="C50" s="194"/>
      <c r="D50" s="191"/>
      <c r="E50" s="191"/>
    </row>
    <row r="51" spans="2:5">
      <c r="B51" s="190">
        <v>6</v>
      </c>
      <c r="C51" s="194" t="s">
        <v>127</v>
      </c>
      <c r="D51" s="191"/>
      <c r="E51" s="191"/>
    </row>
    <row r="52" spans="2:5">
      <c r="B52" s="190"/>
      <c r="C52" s="194"/>
      <c r="D52" s="191"/>
      <c r="E52" s="191"/>
    </row>
    <row r="53" spans="2:5">
      <c r="B53" s="3"/>
      <c r="C53" s="177"/>
      <c r="D53" s="3"/>
      <c r="E53" s="3"/>
    </row>
    <row r="54" spans="2:5">
      <c r="B54" s="3"/>
      <c r="C54" s="177"/>
      <c r="D54" s="3"/>
      <c r="E54" s="3"/>
    </row>
    <row r="55" spans="2:5">
      <c r="B55" s="3"/>
      <c r="C55" s="177"/>
      <c r="D55" s="3"/>
      <c r="E55" s="3"/>
    </row>
    <row r="56" spans="2:5" hidden="1">
      <c r="B56" s="3"/>
      <c r="C56" s="177"/>
      <c r="D56" s="3"/>
      <c r="E56" s="3"/>
    </row>
    <row r="57" spans="2:5" hidden="1">
      <c r="B57" s="3"/>
      <c r="C57" s="3"/>
      <c r="D57" s="3"/>
      <c r="E57" s="3"/>
    </row>
    <row r="58" spans="2:5">
      <c r="B58" s="185" t="s">
        <v>56</v>
      </c>
      <c r="C58" s="2"/>
      <c r="D58" s="2"/>
      <c r="E58" s="2"/>
    </row>
    <row r="59" spans="2:5">
      <c r="B59" s="186">
        <v>4.2</v>
      </c>
      <c r="C59" s="187" t="s">
        <v>128</v>
      </c>
      <c r="D59" s="274" t="s">
        <v>145</v>
      </c>
      <c r="E59" s="2"/>
    </row>
    <row r="60" spans="2:5">
      <c r="B60" s="186"/>
      <c r="C60" s="166"/>
      <c r="D60" s="274" t="s">
        <v>129</v>
      </c>
      <c r="E60" s="166"/>
    </row>
    <row r="61" spans="2:5">
      <c r="B61" s="186"/>
      <c r="C61" s="187" t="s">
        <v>134</v>
      </c>
      <c r="D61" s="274" t="s">
        <v>135</v>
      </c>
      <c r="E61" s="166"/>
    </row>
    <row r="62" spans="2:5">
      <c r="B62" s="186"/>
      <c r="C62" s="187"/>
      <c r="D62" s="274" t="s">
        <v>146</v>
      </c>
      <c r="E62" s="166"/>
    </row>
    <row r="63" spans="2:5">
      <c r="B63" s="186" t="s">
        <v>112</v>
      </c>
      <c r="C63" s="187" t="s">
        <v>113</v>
      </c>
      <c r="D63" s="274" t="s">
        <v>114</v>
      </c>
      <c r="E63" s="2"/>
    </row>
    <row r="64" spans="2:5">
      <c r="B64" s="186" t="s">
        <v>95</v>
      </c>
      <c r="C64" s="187" t="s">
        <v>96</v>
      </c>
      <c r="D64" s="274" t="s">
        <v>98</v>
      </c>
      <c r="E64" s="2"/>
    </row>
    <row r="65" spans="2:5">
      <c r="B65" s="186"/>
      <c r="C65" s="187" t="s">
        <v>27</v>
      </c>
      <c r="D65" s="188" t="s">
        <v>97</v>
      </c>
      <c r="E65" s="2"/>
    </row>
    <row r="66" spans="2:5">
      <c r="B66" s="186"/>
      <c r="C66" s="187" t="s">
        <v>103</v>
      </c>
      <c r="D66" s="188"/>
      <c r="E66" s="2"/>
    </row>
    <row r="67" spans="2:5">
      <c r="B67" s="186"/>
      <c r="C67" s="187" t="s">
        <v>102</v>
      </c>
      <c r="D67" s="188"/>
      <c r="E67" s="2"/>
    </row>
    <row r="68" spans="2:5">
      <c r="B68" s="186"/>
      <c r="C68" s="187" t="s">
        <v>100</v>
      </c>
      <c r="D68" s="188" t="s">
        <v>99</v>
      </c>
      <c r="E68" s="2"/>
    </row>
    <row r="69" spans="2:5">
      <c r="B69" s="186"/>
      <c r="C69" s="187" t="s">
        <v>100</v>
      </c>
      <c r="D69" s="188" t="s">
        <v>101</v>
      </c>
      <c r="E69" s="2"/>
    </row>
    <row r="70" spans="2:5">
      <c r="B70" s="186">
        <v>3.2</v>
      </c>
      <c r="C70" s="187" t="s">
        <v>57</v>
      </c>
      <c r="D70" s="188" t="s">
        <v>69</v>
      </c>
      <c r="E70" s="2"/>
    </row>
    <row r="71" spans="2:5">
      <c r="B71" s="186"/>
      <c r="C71" s="187" t="s">
        <v>58</v>
      </c>
      <c r="D71" s="188" t="s">
        <v>70</v>
      </c>
      <c r="E71" s="2"/>
    </row>
    <row r="72" spans="2:5">
      <c r="B72" s="186"/>
      <c r="C72" s="187" t="s">
        <v>59</v>
      </c>
      <c r="D72" s="188" t="s">
        <v>71</v>
      </c>
      <c r="E72" s="2"/>
    </row>
    <row r="73" spans="2:5">
      <c r="B73" s="186">
        <v>3.1</v>
      </c>
      <c r="C73" s="187" t="s">
        <v>60</v>
      </c>
      <c r="D73" s="189" t="s">
        <v>72</v>
      </c>
      <c r="E73" s="2"/>
    </row>
    <row r="74" spans="2:5">
      <c r="B74" s="186"/>
      <c r="C74" s="166"/>
      <c r="D74" s="2"/>
      <c r="E74" s="2"/>
    </row>
    <row r="77" spans="2:5">
      <c r="B77" s="306" t="s">
        <v>140</v>
      </c>
      <c r="C77" s="307"/>
      <c r="D77" s="307"/>
      <c r="E77" s="307"/>
    </row>
    <row r="78" spans="2:5">
      <c r="B78" s="307"/>
      <c r="C78" s="307"/>
      <c r="D78" s="307"/>
      <c r="E78" s="307"/>
    </row>
    <row r="79" spans="2:5">
      <c r="B79" s="307" t="s">
        <v>141</v>
      </c>
      <c r="C79" s="307"/>
      <c r="D79" s="307"/>
      <c r="E79" s="307"/>
    </row>
    <row r="80" spans="2:5">
      <c r="B80" s="307"/>
      <c r="C80" s="307"/>
      <c r="D80" s="307"/>
      <c r="E80" s="307"/>
    </row>
    <row r="81" spans="2:5">
      <c r="B81" s="307"/>
      <c r="C81" s="307"/>
      <c r="D81" s="307"/>
      <c r="E81" s="307"/>
    </row>
    <row r="82" spans="2:5">
      <c r="B82" s="307"/>
      <c r="C82" s="307"/>
      <c r="D82" s="307"/>
      <c r="E82" s="307"/>
    </row>
    <row r="83" spans="2:5">
      <c r="B83" s="307"/>
      <c r="C83" s="307"/>
      <c r="D83" s="307"/>
      <c r="E83" s="307"/>
    </row>
    <row r="84" spans="2:5">
      <c r="B84" s="307"/>
      <c r="C84" s="307"/>
      <c r="D84" s="307"/>
      <c r="E84" s="307"/>
    </row>
    <row r="85" spans="2:5">
      <c r="B85" s="307"/>
      <c r="C85" s="307"/>
      <c r="D85" s="307"/>
      <c r="E85" s="307"/>
    </row>
    <row r="86" spans="2:5">
      <c r="B86" s="307"/>
      <c r="C86" s="307"/>
      <c r="D86" s="307"/>
      <c r="E86" s="307"/>
    </row>
    <row r="87" spans="2:5">
      <c r="B87" s="307"/>
      <c r="C87" s="307"/>
      <c r="D87" s="307"/>
      <c r="E87" s="307"/>
    </row>
    <row r="88" spans="2:5">
      <c r="B88" s="307"/>
      <c r="C88" s="307"/>
      <c r="D88" s="307"/>
      <c r="E88" s="307"/>
    </row>
    <row r="89" spans="2:5">
      <c r="B89" s="307"/>
      <c r="C89" s="307"/>
      <c r="D89" s="307"/>
      <c r="E89" s="307"/>
    </row>
    <row r="90" spans="2:5">
      <c r="B90" s="307"/>
      <c r="C90" s="307"/>
      <c r="D90" s="307"/>
      <c r="E90" s="307"/>
    </row>
    <row r="91" spans="2:5">
      <c r="B91" s="307"/>
      <c r="C91" s="307"/>
      <c r="D91" s="307"/>
      <c r="E91" s="307"/>
    </row>
    <row r="92" spans="2:5">
      <c r="B92" s="307"/>
      <c r="C92" s="307"/>
      <c r="D92" s="307"/>
      <c r="E92" s="307"/>
    </row>
    <row r="93" spans="2:5">
      <c r="B93" s="307"/>
      <c r="C93" s="307"/>
      <c r="D93" s="307"/>
      <c r="E93" s="307"/>
    </row>
    <row r="94" spans="2:5">
      <c r="B94" s="307"/>
      <c r="C94" s="307"/>
      <c r="D94" s="307"/>
      <c r="E94" s="307"/>
    </row>
    <row r="95" spans="2:5">
      <c r="B95" s="307"/>
      <c r="C95" s="307"/>
      <c r="D95" s="307"/>
      <c r="E95" s="307"/>
    </row>
    <row r="96" spans="2:5">
      <c r="B96" s="307"/>
      <c r="C96" s="307"/>
      <c r="D96" s="307"/>
      <c r="E96" s="307"/>
    </row>
    <row r="97" spans="2:5">
      <c r="B97" s="307"/>
      <c r="C97" s="307"/>
      <c r="D97" s="307"/>
      <c r="E97" s="307"/>
    </row>
    <row r="98" spans="2:5">
      <c r="B98" s="307"/>
      <c r="C98" s="307"/>
      <c r="D98" s="307"/>
      <c r="E98" s="307"/>
    </row>
  </sheetData>
  <mergeCells count="2">
    <mergeCell ref="C20:E20"/>
    <mergeCell ref="D27:E27"/>
  </mergeCells>
  <pageMargins left="0.25" right="0.25" top="0.75" bottom="0.75" header="0.3" footer="0.3"/>
  <pageSetup scale="91" fitToHeight="0" orientation="landscape" horizontalDpi="360" verticalDpi="360" r:id="rId1"/>
  <headerFooter>
    <oddFooter>&amp;R&amp;9&amp;"Calibri"Trading Diary&amp;L&amp;9&amp;"Calibri"Copyright © Effective Trading Solutions Pty Ltd, all rights reserved</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AllTrades">
    <pageSetUpPr autoPageBreaks="0" fitToPage="1"/>
  </sheetPr>
  <dimension ref="A1:AP31"/>
  <sheetViews>
    <sheetView showGridLines="0" tabSelected="1" zoomScale="150" zoomScaleNormal="120" workbookViewId="0">
      <pane xSplit="2" ySplit="8" topLeftCell="J9" activePane="bottomRight" state="frozen"/>
      <selection pane="topRight" activeCell="C1" sqref="C1"/>
      <selection pane="bottomLeft" activeCell="A9" sqref="A9"/>
      <selection pane="bottomRight" activeCell="R1" sqref="R1:R1048576"/>
    </sheetView>
  </sheetViews>
  <sheetFormatPr baseColWidth="10" defaultColWidth="6.33203125" defaultRowHeight="15"/>
  <cols>
    <col min="1" max="1" width="6.83203125" style="19" customWidth="1"/>
    <col min="2" max="2" width="7.83203125" style="19" customWidth="1"/>
    <col min="3" max="3" width="6" style="162" customWidth="1"/>
    <col min="4" max="4" width="25.6640625" style="19" customWidth="1"/>
    <col min="5" max="5" width="10.6640625" style="19" customWidth="1"/>
    <col min="6" max="6" width="17.33203125" style="47" customWidth="1"/>
    <col min="7" max="7" width="7.83203125" style="47" customWidth="1"/>
    <col min="8" max="8" width="9.33203125" style="19" customWidth="1"/>
    <col min="9" max="9" width="10.33203125" style="19" customWidth="1"/>
    <col min="10" max="10" width="7.6640625" style="21" customWidth="1"/>
    <col min="11" max="11" width="10.6640625" style="150" customWidth="1"/>
    <col min="12" max="12" width="8.33203125" style="145" customWidth="1"/>
    <col min="13" max="13" width="9.33203125" style="130" customWidth="1"/>
    <col min="14" max="14" width="8" style="130" customWidth="1"/>
    <col min="15" max="15" width="9.6640625" style="47" customWidth="1"/>
    <col min="16" max="16" width="10.6640625" style="19" customWidth="1"/>
    <col min="17" max="17" width="12" style="130" customWidth="1"/>
    <col min="18" max="18" width="5.6640625" style="21" hidden="1" customWidth="1"/>
    <col min="19" max="19" width="9.33203125" style="19" bestFit="1" customWidth="1"/>
    <col min="20" max="21" width="10" customWidth="1"/>
    <col min="22" max="23" width="9.33203125" customWidth="1"/>
    <col min="24" max="24" width="10.6640625" style="151" customWidth="1"/>
    <col min="25" max="25" width="10.6640625" style="130" customWidth="1"/>
    <col min="26" max="26" width="10.6640625" customWidth="1"/>
    <col min="27" max="27" width="11.33203125" customWidth="1"/>
    <col min="28" max="28" width="11.33203125" hidden="1" customWidth="1"/>
    <col min="29" max="29" width="11" customWidth="1"/>
    <col min="30" max="30" width="11.33203125" style="152" customWidth="1"/>
    <col min="31" max="31" width="11.33203125" customWidth="1"/>
    <col min="32" max="32" width="11" customWidth="1"/>
    <col min="33" max="33" width="15.6640625" style="130" customWidth="1"/>
    <col min="34" max="34" width="10" customWidth="1"/>
    <col min="35" max="35" width="8" style="19" customWidth="1"/>
    <col min="36" max="36" width="13.6640625" style="151" customWidth="1"/>
    <col min="37" max="37" width="10.6640625" style="130" hidden="1" customWidth="1"/>
    <col min="38" max="40" width="10.6640625" style="130" customWidth="1"/>
    <col min="41" max="41" width="25.6640625" style="19" customWidth="1"/>
    <col min="42" max="42" width="9" customWidth="1"/>
    <col min="43" max="16384" width="6.33203125" style="19"/>
  </cols>
  <sheetData>
    <row r="1" spans="1:42" ht="15" customHeight="1">
      <c r="A1" s="25"/>
      <c r="B1" s="5"/>
      <c r="C1" s="159"/>
      <c r="D1" s="205"/>
      <c r="E1" s="205"/>
      <c r="F1" s="113"/>
      <c r="G1" s="113"/>
      <c r="O1" s="212"/>
      <c r="P1" s="213"/>
      <c r="Q1" s="214"/>
      <c r="R1" s="213"/>
      <c r="X1" s="250"/>
      <c r="Y1" s="21"/>
      <c r="AC1" s="21"/>
      <c r="AD1" s="249"/>
      <c r="AE1" s="21"/>
      <c r="AF1" s="21"/>
      <c r="AG1"/>
      <c r="AH1" s="154"/>
      <c r="AI1" s="155"/>
      <c r="AJ1" s="37"/>
      <c r="AK1" s="19"/>
      <c r="AL1" s="19"/>
      <c r="AM1" s="19"/>
      <c r="AN1" s="19"/>
    </row>
    <row r="2" spans="1:42" ht="34.5" customHeight="1" thickBot="1">
      <c r="A2" s="125" t="s">
        <v>33</v>
      </c>
      <c r="B2" s="11"/>
      <c r="C2" s="160"/>
      <c r="D2" s="205"/>
      <c r="E2" s="205"/>
      <c r="F2" s="113"/>
      <c r="G2" s="113"/>
      <c r="H2" s="206"/>
      <c r="I2" s="207"/>
      <c r="J2" s="208"/>
      <c r="K2" s="209"/>
      <c r="L2" s="210"/>
      <c r="M2" s="211"/>
      <c r="N2" s="211"/>
      <c r="O2" s="212"/>
      <c r="P2" s="213"/>
      <c r="Q2" s="214"/>
      <c r="R2" s="213"/>
      <c r="S2" s="110"/>
      <c r="X2" s="19"/>
      <c r="Y2" s="21"/>
      <c r="Z2" s="267"/>
      <c r="AA2" s="268"/>
      <c r="AB2" s="268"/>
      <c r="AC2" s="21"/>
      <c r="AD2" s="110"/>
      <c r="AE2" s="21"/>
      <c r="AF2" s="21"/>
      <c r="AG2" s="156"/>
      <c r="AH2" s="158"/>
      <c r="AI2" s="37"/>
      <c r="AJ2" s="37"/>
      <c r="AK2" s="19"/>
      <c r="AL2" s="19"/>
      <c r="AM2" s="19"/>
      <c r="AN2" s="19"/>
    </row>
    <row r="3" spans="1:42" ht="61.5" hidden="1" customHeight="1">
      <c r="A3" s="25"/>
      <c r="B3" s="10"/>
      <c r="C3" s="160"/>
      <c r="D3" s="205"/>
      <c r="E3" s="205"/>
      <c r="F3" s="113"/>
      <c r="G3" s="113"/>
      <c r="H3" s="206"/>
      <c r="I3" s="207"/>
      <c r="J3" s="208"/>
      <c r="K3" s="209"/>
      <c r="L3" s="210"/>
      <c r="M3" s="211"/>
      <c r="N3" s="211"/>
      <c r="O3" s="212"/>
      <c r="P3" s="213"/>
      <c r="Q3" s="214"/>
      <c r="R3" s="213"/>
      <c r="S3" s="110"/>
      <c r="T3" s="21"/>
      <c r="U3" s="21"/>
      <c r="V3" s="21"/>
      <c r="W3" s="21"/>
      <c r="X3" s="110"/>
      <c r="Y3" s="215"/>
      <c r="Z3" s="269"/>
      <c r="AA3" s="268"/>
      <c r="AB3" s="268"/>
      <c r="AC3" s="215"/>
      <c r="AD3" s="110"/>
      <c r="AE3" s="215"/>
      <c r="AF3" s="215"/>
      <c r="AG3" s="157"/>
      <c r="AH3" s="153"/>
      <c r="AI3" s="37"/>
      <c r="AJ3" s="37"/>
      <c r="AK3" s="19"/>
      <c r="AL3" s="19"/>
      <c r="AM3" s="19"/>
      <c r="AN3" s="19"/>
    </row>
    <row r="4" spans="1:42" ht="61.5" hidden="1" customHeight="1">
      <c r="A4" s="25"/>
      <c r="B4" s="10"/>
      <c r="C4" s="160"/>
      <c r="D4" s="205"/>
      <c r="E4" s="205"/>
      <c r="F4" s="113"/>
      <c r="G4" s="113"/>
      <c r="H4" s="206"/>
      <c r="I4" s="207"/>
      <c r="J4" s="208"/>
      <c r="K4" s="209"/>
      <c r="L4" s="210"/>
      <c r="M4" s="211"/>
      <c r="N4" s="211"/>
      <c r="O4" s="212"/>
      <c r="P4" s="213"/>
      <c r="Q4" s="214"/>
      <c r="R4" s="213"/>
      <c r="S4" s="110"/>
      <c r="T4" s="21"/>
      <c r="U4" s="21"/>
      <c r="V4" s="21"/>
      <c r="W4" s="21"/>
      <c r="X4" s="110"/>
      <c r="Y4" s="215"/>
      <c r="Z4" s="269"/>
      <c r="AA4" s="268"/>
      <c r="AB4" s="268"/>
      <c r="AC4" s="215"/>
      <c r="AD4" s="110"/>
      <c r="AE4" s="215"/>
      <c r="AF4" s="215"/>
      <c r="AG4" s="157"/>
      <c r="AH4" s="153"/>
      <c r="AI4" s="37"/>
      <c r="AJ4" s="37"/>
      <c r="AK4" s="19"/>
      <c r="AL4" s="19"/>
      <c r="AM4" s="19"/>
      <c r="AN4" s="19"/>
    </row>
    <row r="5" spans="1:42" ht="61.5" hidden="1" customHeight="1" thickBot="1">
      <c r="A5" s="25"/>
      <c r="B5" s="10"/>
      <c r="C5" s="160"/>
      <c r="D5" s="205"/>
      <c r="E5" s="205"/>
      <c r="F5" s="113"/>
      <c r="G5" s="113"/>
      <c r="H5" s="206"/>
      <c r="I5" s="207"/>
      <c r="J5" s="208"/>
      <c r="K5" s="209"/>
      <c r="L5" s="210"/>
      <c r="M5" s="211"/>
      <c r="N5" s="211"/>
      <c r="O5" s="212"/>
      <c r="P5" s="213"/>
      <c r="Q5" s="214"/>
      <c r="R5" s="213"/>
      <c r="S5" s="110"/>
      <c r="T5" s="21"/>
      <c r="U5" s="21"/>
      <c r="V5" s="21"/>
      <c r="W5" s="21"/>
      <c r="X5" s="110"/>
      <c r="Y5" s="215"/>
      <c r="Z5" s="269"/>
      <c r="AA5" s="268"/>
      <c r="AB5" s="268"/>
      <c r="AC5" s="215"/>
      <c r="AD5" s="110"/>
      <c r="AE5" s="215"/>
      <c r="AF5" s="215"/>
      <c r="AG5" s="157"/>
      <c r="AH5" s="153"/>
      <c r="AI5" s="37"/>
      <c r="AJ5" s="37"/>
      <c r="AK5" s="19"/>
      <c r="AL5" s="19"/>
      <c r="AM5" s="19"/>
      <c r="AN5" s="19"/>
    </row>
    <row r="6" spans="1:42" ht="15" customHeight="1" thickBot="1">
      <c r="A6" s="147" t="s">
        <v>32</v>
      </c>
      <c r="B6" s="163"/>
      <c r="C6" s="160"/>
      <c r="D6" s="205"/>
      <c r="I6" s="216"/>
      <c r="J6" s="217"/>
      <c r="K6" s="218"/>
      <c r="L6" s="270"/>
      <c r="M6"/>
      <c r="N6" s="273">
        <v>3300</v>
      </c>
      <c r="O6" s="8"/>
      <c r="P6"/>
      <c r="Q6" s="214"/>
      <c r="R6" s="219"/>
      <c r="S6" s="272"/>
      <c r="T6" s="277" t="s">
        <v>93</v>
      </c>
      <c r="U6" s="277"/>
      <c r="V6" s="277"/>
      <c r="W6" s="277"/>
      <c r="X6" s="277" t="s">
        <v>94</v>
      </c>
      <c r="Y6" s="277"/>
      <c r="Z6" s="277"/>
      <c r="AA6" s="277"/>
      <c r="AB6" s="277"/>
      <c r="AC6" s="277"/>
      <c r="AD6" s="277"/>
      <c r="AE6" s="21"/>
      <c r="AF6" s="21"/>
      <c r="AH6" s="153"/>
      <c r="AI6" s="37"/>
      <c r="AJ6" s="37"/>
      <c r="AK6" s="19"/>
      <c r="AL6" s="19"/>
      <c r="AM6" s="19"/>
      <c r="AN6" s="19"/>
    </row>
    <row r="7" spans="1:42" s="21" customFormat="1" ht="2.25" customHeight="1">
      <c r="A7" s="26"/>
      <c r="B7" s="227"/>
      <c r="C7" s="228"/>
      <c r="D7" s="27"/>
      <c r="E7" s="27"/>
      <c r="F7" s="229"/>
      <c r="G7" s="229"/>
      <c r="H7" s="217"/>
      <c r="I7" s="230"/>
      <c r="J7" s="217"/>
      <c r="K7" s="209"/>
      <c r="L7" s="231"/>
      <c r="M7" s="229"/>
      <c r="N7" s="229"/>
      <c r="O7" s="219"/>
      <c r="P7" s="219"/>
      <c r="Q7" s="232"/>
      <c r="R7" s="219"/>
      <c r="S7" s="219"/>
      <c r="T7" s="220"/>
      <c r="U7" s="220"/>
      <c r="V7" s="220"/>
      <c r="W7" s="220"/>
      <c r="X7" s="233"/>
      <c r="Y7" s="220"/>
      <c r="Z7" s="234"/>
      <c r="AA7" s="235"/>
      <c r="AB7" s="235"/>
      <c r="AC7" s="220"/>
      <c r="AD7" s="219"/>
      <c r="AE7" s="220"/>
      <c r="AF7" s="220"/>
      <c r="AG7" s="157"/>
      <c r="AH7" s="236"/>
      <c r="AI7" s="23"/>
      <c r="AJ7" s="23"/>
      <c r="AP7"/>
    </row>
    <row r="8" spans="1:42" s="245" customFormat="1" ht="25.25" customHeight="1">
      <c r="A8" s="237" t="s">
        <v>10</v>
      </c>
      <c r="B8" s="237" t="s">
        <v>0</v>
      </c>
      <c r="C8" s="237" t="s">
        <v>44</v>
      </c>
      <c r="D8" s="238" t="s">
        <v>1</v>
      </c>
      <c r="E8" s="238" t="s">
        <v>2</v>
      </c>
      <c r="F8" s="238" t="s">
        <v>3</v>
      </c>
      <c r="G8" s="238" t="s">
        <v>48</v>
      </c>
      <c r="H8" s="238" t="s">
        <v>36</v>
      </c>
      <c r="I8" s="237" t="s">
        <v>37</v>
      </c>
      <c r="J8" s="237" t="s">
        <v>115</v>
      </c>
      <c r="K8" s="239" t="s">
        <v>4</v>
      </c>
      <c r="L8" s="240" t="s">
        <v>20</v>
      </c>
      <c r="M8" s="239" t="s">
        <v>27</v>
      </c>
      <c r="N8" s="239" t="s">
        <v>83</v>
      </c>
      <c r="O8" s="238" t="s">
        <v>38</v>
      </c>
      <c r="P8" s="237" t="s">
        <v>39</v>
      </c>
      <c r="Q8" s="239" t="s">
        <v>5</v>
      </c>
      <c r="R8" s="237" t="s">
        <v>34</v>
      </c>
      <c r="S8" s="237" t="s">
        <v>31</v>
      </c>
      <c r="T8" s="239" t="s">
        <v>6</v>
      </c>
      <c r="U8" s="242" t="s">
        <v>28</v>
      </c>
      <c r="V8" s="239" t="s">
        <v>7</v>
      </c>
      <c r="W8" s="239" t="s">
        <v>29</v>
      </c>
      <c r="X8" s="237" t="s">
        <v>18</v>
      </c>
      <c r="Y8" s="241" t="s">
        <v>15</v>
      </c>
      <c r="Z8" s="239" t="s">
        <v>89</v>
      </c>
      <c r="AA8" s="242" t="s">
        <v>143</v>
      </c>
      <c r="AB8" s="242" t="s">
        <v>144</v>
      </c>
      <c r="AC8" s="239" t="s">
        <v>90</v>
      </c>
      <c r="AD8" s="239" t="s">
        <v>92</v>
      </c>
      <c r="AE8" s="239" t="s">
        <v>82</v>
      </c>
      <c r="AF8" s="239" t="s">
        <v>84</v>
      </c>
      <c r="AG8" s="239" t="s">
        <v>85</v>
      </c>
      <c r="AH8" s="239" t="s">
        <v>17</v>
      </c>
      <c r="AI8" s="239" t="s">
        <v>11</v>
      </c>
      <c r="AJ8" s="243" t="s">
        <v>8</v>
      </c>
      <c r="AK8" s="244" t="s">
        <v>46</v>
      </c>
      <c r="AP8"/>
    </row>
    <row r="9" spans="1:42">
      <c r="A9" s="6" t="s">
        <v>50</v>
      </c>
      <c r="B9" s="161" t="s">
        <v>148</v>
      </c>
      <c r="C9" s="161" t="s">
        <v>110</v>
      </c>
      <c r="D9" s="5" t="s">
        <v>149</v>
      </c>
      <c r="E9" s="5" t="s">
        <v>150</v>
      </c>
      <c r="F9" s="5" t="s">
        <v>151</v>
      </c>
      <c r="G9" s="161" t="s">
        <v>111</v>
      </c>
      <c r="H9" s="49">
        <v>46128</v>
      </c>
      <c r="I9" s="50">
        <v>45.95</v>
      </c>
      <c r="J9" s="129">
        <v>0.34</v>
      </c>
      <c r="K9" s="169">
        <f>tbAllTrades[[#This Row],[Entry Price]]*tbAllTrades[[#This Row],[No. of Shares]]</f>
        <v>15.623000000000003</v>
      </c>
      <c r="L9" s="52">
        <v>0.01</v>
      </c>
      <c r="M9" s="170">
        <f>IF(tbAllTrades[[#This Row],[Strategy]]&lt;&gt;"",
SUMIFS(tbAllTrades[Position Size],tbAllTrades[Exit Date],"="&amp; tbAllTrades[[#This Row],[Exit Date]],tbAllTrades[Stock],tbAllTrades[[#This Row],[Stock]],tbAllTrades[Strategy],tbAllTrades[[#This Row],[Strategy]]),
SUMIFS(tbAllTrades[Position Size],tbAllTrades[Exit Date],"="&amp; tbAllTrades[[#This Row],[Exit Date]],tbAllTrades[Stock],tbAllTrades[[#This Row],[Stock]]))</f>
        <v>0.01</v>
      </c>
      <c r="N9" s="170">
        <f ca="1">IFERROR(tbAllTrades[[#This Row],[Cost Basis Com in Base Curr]]/Portfolio_Balance,"No Cur")</f>
        <v>6.5218934071393101E-3</v>
      </c>
      <c r="O9" s="221"/>
      <c r="P9" s="51"/>
      <c r="Q9" s="169">
        <f>tbAllTrades[[#This Row],[Exit Price]]*tbAllTrades[[#This Row],[No. of Shares]]</f>
        <v>0</v>
      </c>
      <c r="R9" s="116"/>
      <c r="S9" s="50"/>
      <c r="T9" s="171" t="str">
        <f>IF(tbAllTrades[[#This Row],[Exit Price]]="","",IF(tbAllTrades[[#This Row],[Short Sold]]&lt;&gt;"",tbAllTrades[[#This Row],[Cost Basis]]-tbAllTrades[[#This Row],[Investment Out]],tbAllTrades[[#This Row],[Investment Out]]-tbAllTrades[[#This Row],[Cost Basis]]))</f>
        <v/>
      </c>
      <c r="U9" s="171">
        <f>IF(tbAllTrades[[#This Row],[Strategy]]&lt;&gt;"",
(SUMIFS(tbAllTrades[ROI ($)],tbAllTrades[Exit Date],"="&amp; tbAllTrades[[#This Row],[Exit Date]],tbAllTrades[Stock],tbAllTrades[[#This Row],[Stock]],tbAllTrades[Strategy],tbAllTrades[[#This Row],[Strategy]])),
(SUMIFS(tbAllTrades[ROI ($)],tbAllTrades[Exit Date],"="&amp; tbAllTrades[[#This Row],[Exit Date]],tbAllTrades[Stock],tbAllTrades[[#This Row],[Stock]])))</f>
        <v>0</v>
      </c>
      <c r="V9" s="170" t="str">
        <f>IF(tbAllTrades[[#This Row],[Exit Price]]="","",(tbAllTrades[[#This Row],[ROI ($)]]/tbAllTrades[[#This Row],[Cost Basis]]))</f>
        <v/>
      </c>
      <c r="W9" s="170">
        <f>IFERROR((tbAllTrades[[#This Row],[Combined ROI ($)]]/tbAllTrades[[#This Row],[Cost Basis Combined]]),0)</f>
        <v>0</v>
      </c>
      <c r="X9" s="51"/>
      <c r="Y9" s="271">
        <f>tbAllTrades[[#This Row],[Dividends (cents)]]*tbAllTrades[[#This Row],[No. of Shares]]</f>
        <v>0</v>
      </c>
      <c r="Z9" s="172" t="str">
        <f>IF(tbAllTrades[[#This Row],[Exit Price]]="","",IF(tbAllTrades[[#This Row],[Short Sold]]&lt;&gt;"",tbAllTrades[[#This Row],[Investment In]]-tbAllTrades[[#This Row],[Investment Out]]-tbAllTrades[[#This Row],[Dividend Total]]-tbAllTrades[[#This Row],[Commission]],tbAllTrades[[#This Row],[Investment Out]]-tbAllTrades[[#This Row],[Investment In]]+tbAllTrades[[#This Row],[Dividend Total]]-tbAllTrades[[#This Row],[Commission]]))</f>
        <v/>
      </c>
      <c r="AA9" s="172">
        <f>IF(tbAllTrades[[#This Row],[Strategy]]&lt;&gt;"",(SUMIFS(tbAllTrades[ROI ($) + Dividend],tbAllTrades[Exit Date],"="&amp; tbAllTrades[[#This Row],[Exit Date]],tbAllTrades[Stock],tbAllTrades[[#This Row],[Stock]],tbAllTrades[Strategy],tbAllTrades[[#This Row],[Strategy]])),(SUMIFS(tbAllTrades[ROI ($) + Dividend],tbAllTrades[Exit Date],"="&amp; tbAllTrades[[#This Row],[Exit Date]],tbAllTrades[Stock],tbAllTrades[[#This Row],[Stock]])))</f>
        <v>0</v>
      </c>
      <c r="AB9" s="172">
        <f>SUMIFS(tbAllTrades[ROI ($) + Dividend],tbAllTrades[Exit Date],"="&amp; tbAllTrades[[#This Row],[Exit Date]],tbAllTrades[Stock],tbAllTrades[[#This Row],[Stock]])</f>
        <v>0</v>
      </c>
      <c r="AC9" s="173" t="str">
        <f>IF(tbAllTrades[[#This Row],[Exit Price]]="","",(tbAllTrades[[#This Row],[ROI ($) + Dividend]]/tbAllTrades[[#This Row],[Cost Basis]]))</f>
        <v/>
      </c>
      <c r="AD9" s="170">
        <f>IFERROR((tbAllTrades[[#This Row],[Comb ROI ($) + Div by Strat]]/tbAllTrades[[#This Row],[Cost Basis Combined]]),0)</f>
        <v>0</v>
      </c>
      <c r="AE9" s="226">
        <f>tbAllTrades[[#This Row],[Investment In]]+tbAllTrades[[#This Row],[Commission]]</f>
        <v>15.623000000000003</v>
      </c>
      <c r="AF9" s="226">
        <f>IF(tbAllTrades[[#This Row],[Strategy]]&lt;&gt;"",
SUMIFS(tbAllTrades[Cost Basis],tbAllTrades[Exit Date],"="&amp; tbAllTrades[[#This Row],[Exit Date]],tbAllTrades[Stock],tbAllTrades[[#This Row],[Stock]],tbAllTrades[Strategy],tbAllTrades[[#This Row],[Strategy]]),
SUMIFS(tbAllTrades[Cost Basis],tbAllTrades[Exit Date],"="&amp; tbAllTrades[[#This Row],[Exit Date]],tbAllTrades[Stock],tbAllTrades[[#This Row],[Stock]]))</f>
        <v>15.623000000000003</v>
      </c>
      <c r="AG9" s="226">
        <f ca="1">IFERROR(tbAllTrades[[#This Row],[Cost Basis Combined]]/(_xlfn.XLOOKUP(tbAllTrades[[#This Row],[Cur]],tbExchangeRate[Currency],tbExchangeRate[Exchange Rate],,0,1)),"No Cur")</f>
        <v>21.522248243559723</v>
      </c>
      <c r="AH9" s="170" t="str">
        <f>IFERROR(IF(tbAllTrades[[#This Row],[Exit Price]]="","",(tbAllTrades[[#This Row],[ROI (%) + Dividend]]*(365/tbAllTrades[[#This Row],[Days]]))),0)</f>
        <v/>
      </c>
      <c r="AI9" s="174">
        <f ca="1">IF(tbAllTrades[[#This Row],[Exit Date]]&lt;&gt;"",tbAllTrades[[#This Row],[Exit Date]]-tbAllTrades[[#This Row],[Entry Date]],IF(TodaysDate-tbAllTrades[[#This Row],[Entry Date]]&gt;40000,0,TodaysDate-tbAllTrades[[#This Row],[Entry Date]]))</f>
        <v>20</v>
      </c>
      <c r="AJ9" s="14"/>
      <c r="AK9" s="175"/>
    </row>
    <row r="10" spans="1:42">
      <c r="A10" s="6"/>
      <c r="B10" s="161"/>
      <c r="C10" s="161"/>
      <c r="D10" s="5"/>
      <c r="E10" s="5"/>
      <c r="F10" s="5"/>
      <c r="G10" s="161"/>
      <c r="H10" s="49"/>
      <c r="I10" s="50"/>
      <c r="J10" s="129"/>
      <c r="K10" s="169">
        <f>tbAllTrades[[#This Row],[Entry Price]]*tbAllTrades[[#This Row],[No. of Shares]]</f>
        <v>0</v>
      </c>
      <c r="L10" s="52"/>
      <c r="M10" s="170">
        <f>IF(tbAllTrades[[#This Row],[Strategy]]&lt;&gt;"",
SUMIFS(tbAllTrades[Position Size],tbAllTrades[Exit Date],"="&amp; tbAllTrades[[#This Row],[Exit Date]],tbAllTrades[Stock],tbAllTrades[[#This Row],[Stock]],tbAllTrades[Strategy],tbAllTrades[[#This Row],[Strategy]]),
SUMIFS(tbAllTrades[Position Size],tbAllTrades[Exit Date],"="&amp; tbAllTrades[[#This Row],[Exit Date]],tbAllTrades[Stock],tbAllTrades[[#This Row],[Stock]]))</f>
        <v>0</v>
      </c>
      <c r="N10" s="170" t="str">
        <f>IFERROR(tbAllTrades[[#This Row],[Cost Basis Com in Base Curr]]/Portfolio_Balance,"No Cur")</f>
        <v>No Cur</v>
      </c>
      <c r="O10" s="221"/>
      <c r="P10" s="51"/>
      <c r="Q10" s="169">
        <f>tbAllTrades[[#This Row],[Exit Price]]*tbAllTrades[[#This Row],[No. of Shares]]</f>
        <v>0</v>
      </c>
      <c r="R10" s="116"/>
      <c r="S10" s="50"/>
      <c r="T10" s="171" t="str">
        <f>IF(tbAllTrades[[#This Row],[Exit Price]]="","",IF(tbAllTrades[[#This Row],[Short Sold]]&lt;&gt;"",tbAllTrades[[#This Row],[Cost Basis]]-tbAllTrades[[#This Row],[Investment Out]],tbAllTrades[[#This Row],[Investment Out]]-tbAllTrades[[#This Row],[Cost Basis]]))</f>
        <v/>
      </c>
      <c r="U10" s="171">
        <f>IF(tbAllTrades[[#This Row],[Strategy]]&lt;&gt;"",
(SUMIFS(tbAllTrades[ROI ($)],tbAllTrades[Exit Date],"="&amp; tbAllTrades[[#This Row],[Exit Date]],tbAllTrades[Stock],tbAllTrades[[#This Row],[Stock]],tbAllTrades[Strategy],tbAllTrades[[#This Row],[Strategy]])),
(SUMIFS(tbAllTrades[ROI ($)],tbAllTrades[Exit Date],"="&amp; tbAllTrades[[#This Row],[Exit Date]],tbAllTrades[Stock],tbAllTrades[[#This Row],[Stock]])))</f>
        <v>0</v>
      </c>
      <c r="V10" s="170" t="str">
        <f>IF(tbAllTrades[[#This Row],[Exit Price]]="","",(tbAllTrades[[#This Row],[ROI ($)]]/tbAllTrades[[#This Row],[Cost Basis]]))</f>
        <v/>
      </c>
      <c r="W10" s="170">
        <f>IFERROR((tbAllTrades[[#This Row],[Combined ROI ($)]]/tbAllTrades[[#This Row],[Cost Basis Combined]]),0)</f>
        <v>0</v>
      </c>
      <c r="X10" s="51"/>
      <c r="Y10" s="271">
        <f>tbAllTrades[[#This Row],[Dividends (cents)]]*tbAllTrades[[#This Row],[No. of Shares]]</f>
        <v>0</v>
      </c>
      <c r="Z10" s="172" t="str">
        <f>IF(tbAllTrades[[#This Row],[Exit Price]]="","",IF(tbAllTrades[[#This Row],[Short Sold]]&lt;&gt;"",tbAllTrades[[#This Row],[Investment In]]-tbAllTrades[[#This Row],[Investment Out]]-tbAllTrades[[#This Row],[Dividend Total]]-tbAllTrades[[#This Row],[Commission]],tbAllTrades[[#This Row],[Investment Out]]-tbAllTrades[[#This Row],[Investment In]]+tbAllTrades[[#This Row],[Dividend Total]]-tbAllTrades[[#This Row],[Commission]]))</f>
        <v/>
      </c>
      <c r="AA10" s="172">
        <f>IF(tbAllTrades[[#This Row],[Strategy]]&lt;&gt;"",(SUMIFS(tbAllTrades[ROI ($) + Dividend],tbAllTrades[Exit Date],"="&amp; tbAllTrades[[#This Row],[Exit Date]],tbAllTrades[Stock],tbAllTrades[[#This Row],[Stock]],tbAllTrades[Strategy],tbAllTrades[[#This Row],[Strategy]])),(SUMIFS(tbAllTrades[ROI ($) + Dividend],tbAllTrades[Exit Date],"="&amp; tbAllTrades[[#This Row],[Exit Date]],tbAllTrades[Stock],tbAllTrades[[#This Row],[Stock]])))</f>
        <v>0</v>
      </c>
      <c r="AB10" s="172">
        <f>SUMIFS(tbAllTrades[ROI ($) + Dividend],tbAllTrades[Exit Date],"="&amp; tbAllTrades[[#This Row],[Exit Date]],tbAllTrades[Stock],tbAllTrades[[#This Row],[Stock]])</f>
        <v>0</v>
      </c>
      <c r="AC10" s="173" t="str">
        <f>IF(tbAllTrades[[#This Row],[Exit Price]]="","",(tbAllTrades[[#This Row],[ROI ($) + Dividend]]/tbAllTrades[[#This Row],[Cost Basis]]))</f>
        <v/>
      </c>
      <c r="AD10" s="170">
        <f>IFERROR((tbAllTrades[[#This Row],[Comb ROI ($) + Div by Strat]]/tbAllTrades[[#This Row],[Cost Basis Combined]]),0)</f>
        <v>0</v>
      </c>
      <c r="AE10" s="226">
        <f>tbAllTrades[[#This Row],[Investment In]]+tbAllTrades[[#This Row],[Commission]]</f>
        <v>0</v>
      </c>
      <c r="AF10" s="226">
        <f>IF(tbAllTrades[[#This Row],[Strategy]]&lt;&gt;"",
SUMIFS(tbAllTrades[Cost Basis],tbAllTrades[Exit Date],"="&amp; tbAllTrades[[#This Row],[Exit Date]],tbAllTrades[Stock],tbAllTrades[[#This Row],[Stock]],tbAllTrades[Strategy],tbAllTrades[[#This Row],[Strategy]]),
SUMIFS(tbAllTrades[Cost Basis],tbAllTrades[Exit Date],"="&amp; tbAllTrades[[#This Row],[Exit Date]],tbAllTrades[Stock],tbAllTrades[[#This Row],[Stock]]))</f>
        <v>0</v>
      </c>
      <c r="AG10" s="226" t="str">
        <f>IFERROR(tbAllTrades[[#This Row],[Cost Basis Combined]]/(_xlfn.XLOOKUP(tbAllTrades[[#This Row],[Cur]],tbExchangeRate[Currency],tbExchangeRate[Exchange Rate],,0,1)),"No Cur")</f>
        <v>No Cur</v>
      </c>
      <c r="AH10" s="170" t="str">
        <f>IFERROR(IF(tbAllTrades[[#This Row],[Exit Price]]="","",(tbAllTrades[[#This Row],[ROI (%) + Dividend]]*(365/tbAllTrades[[#This Row],[Days]]))),0)</f>
        <v/>
      </c>
      <c r="AI10" s="174">
        <f ca="1">IF(tbAllTrades[[#This Row],[Exit Date]]&lt;&gt;"",tbAllTrades[[#This Row],[Exit Date]]-tbAllTrades[[#This Row],[Entry Date]],IF(TodaysDate-tbAllTrades[[#This Row],[Entry Date]]&gt;40000,0,TodaysDate-tbAllTrades[[#This Row],[Entry Date]]))</f>
        <v>0</v>
      </c>
      <c r="AJ10" s="14"/>
      <c r="AK10" s="175"/>
    </row>
    <row r="11" spans="1:42">
      <c r="A11" s="6"/>
      <c r="B11" s="161"/>
      <c r="C11" s="161"/>
      <c r="D11" s="5"/>
      <c r="E11" s="5"/>
      <c r="F11" s="5"/>
      <c r="G11" s="161"/>
      <c r="H11" s="49"/>
      <c r="I11" s="50"/>
      <c r="J11" s="129"/>
      <c r="K11" s="169">
        <f>tbAllTrades[[#This Row],[Entry Price]]*tbAllTrades[[#This Row],[No. of Shares]]</f>
        <v>0</v>
      </c>
      <c r="L11" s="52"/>
      <c r="M11" s="170">
        <f>IF(tbAllTrades[[#This Row],[Strategy]]&lt;&gt;"",
SUMIFS(tbAllTrades[Position Size],tbAllTrades[Exit Date],"="&amp; tbAllTrades[[#This Row],[Exit Date]],tbAllTrades[Stock],tbAllTrades[[#This Row],[Stock]],tbAllTrades[Strategy],tbAllTrades[[#This Row],[Strategy]]),
SUMIFS(tbAllTrades[Position Size],tbAllTrades[Exit Date],"="&amp; tbAllTrades[[#This Row],[Exit Date]],tbAllTrades[Stock],tbAllTrades[[#This Row],[Stock]]))</f>
        <v>0</v>
      </c>
      <c r="N11" s="170" t="str">
        <f>IFERROR(tbAllTrades[[#This Row],[Cost Basis Com in Base Curr]]/Portfolio_Balance,"No Cur")</f>
        <v>No Cur</v>
      </c>
      <c r="O11" s="221"/>
      <c r="P11" s="51"/>
      <c r="Q11" s="169">
        <f>tbAllTrades[[#This Row],[Exit Price]]*tbAllTrades[[#This Row],[No. of Shares]]</f>
        <v>0</v>
      </c>
      <c r="R11" s="116"/>
      <c r="S11" s="50"/>
      <c r="T11" s="171" t="str">
        <f>IF(tbAllTrades[[#This Row],[Exit Price]]="","",IF(tbAllTrades[[#This Row],[Short Sold]]&lt;&gt;"",tbAllTrades[[#This Row],[Cost Basis]]-tbAllTrades[[#This Row],[Investment Out]],tbAllTrades[[#This Row],[Investment Out]]-tbAllTrades[[#This Row],[Cost Basis]]))</f>
        <v/>
      </c>
      <c r="U11" s="171">
        <f>IF(tbAllTrades[[#This Row],[Strategy]]&lt;&gt;"",
(SUMIFS(tbAllTrades[ROI ($)],tbAllTrades[Exit Date],"="&amp; tbAllTrades[[#This Row],[Exit Date]],tbAllTrades[Stock],tbAllTrades[[#This Row],[Stock]],tbAllTrades[Strategy],tbAllTrades[[#This Row],[Strategy]])),
(SUMIFS(tbAllTrades[ROI ($)],tbAllTrades[Exit Date],"="&amp; tbAllTrades[[#This Row],[Exit Date]],tbAllTrades[Stock],tbAllTrades[[#This Row],[Stock]])))</f>
        <v>0</v>
      </c>
      <c r="V11" s="170" t="str">
        <f>IF(tbAllTrades[[#This Row],[Exit Price]]="","",(tbAllTrades[[#This Row],[ROI ($)]]/tbAllTrades[[#This Row],[Cost Basis]]))</f>
        <v/>
      </c>
      <c r="W11" s="170">
        <f>IFERROR((tbAllTrades[[#This Row],[Combined ROI ($)]]/tbAllTrades[[#This Row],[Cost Basis Combined]]),0)</f>
        <v>0</v>
      </c>
      <c r="X11" s="51"/>
      <c r="Y11" s="271">
        <f>tbAllTrades[[#This Row],[Dividends (cents)]]*tbAllTrades[[#This Row],[No. of Shares]]</f>
        <v>0</v>
      </c>
      <c r="Z11" s="172" t="str">
        <f>IF(tbAllTrades[[#This Row],[Exit Price]]="","",IF(tbAllTrades[[#This Row],[Short Sold]]&lt;&gt;"",tbAllTrades[[#This Row],[Investment In]]-tbAllTrades[[#This Row],[Investment Out]]-tbAllTrades[[#This Row],[Dividend Total]]-tbAllTrades[[#This Row],[Commission]],tbAllTrades[[#This Row],[Investment Out]]-tbAllTrades[[#This Row],[Investment In]]+tbAllTrades[[#This Row],[Dividend Total]]-tbAllTrades[[#This Row],[Commission]]))</f>
        <v/>
      </c>
      <c r="AA11" s="172">
        <f>IF(tbAllTrades[[#This Row],[Strategy]]&lt;&gt;"",(SUMIFS(tbAllTrades[ROI ($) + Dividend],tbAllTrades[Exit Date],"="&amp; tbAllTrades[[#This Row],[Exit Date]],tbAllTrades[Stock],tbAllTrades[[#This Row],[Stock]],tbAllTrades[Strategy],tbAllTrades[[#This Row],[Strategy]])),(SUMIFS(tbAllTrades[ROI ($) + Dividend],tbAllTrades[Exit Date],"="&amp; tbAllTrades[[#This Row],[Exit Date]],tbAllTrades[Stock],tbAllTrades[[#This Row],[Stock]])))</f>
        <v>0</v>
      </c>
      <c r="AB11" s="172">
        <f>SUMIFS(tbAllTrades[ROI ($) + Dividend],tbAllTrades[Exit Date],"="&amp; tbAllTrades[[#This Row],[Exit Date]],tbAllTrades[Stock],tbAllTrades[[#This Row],[Stock]])</f>
        <v>0</v>
      </c>
      <c r="AC11" s="173" t="str">
        <f>IF(tbAllTrades[[#This Row],[Exit Price]]="","",(tbAllTrades[[#This Row],[ROI ($) + Dividend]]/tbAllTrades[[#This Row],[Cost Basis]]))</f>
        <v/>
      </c>
      <c r="AD11" s="170">
        <f>IFERROR((tbAllTrades[[#This Row],[Comb ROI ($) + Div by Strat]]/tbAllTrades[[#This Row],[Cost Basis Combined]]),0)</f>
        <v>0</v>
      </c>
      <c r="AE11" s="226">
        <f>tbAllTrades[[#This Row],[Investment In]]+tbAllTrades[[#This Row],[Commission]]</f>
        <v>0</v>
      </c>
      <c r="AF11" s="226">
        <f>IF(tbAllTrades[[#This Row],[Strategy]]&lt;&gt;"",
SUMIFS(tbAllTrades[Cost Basis],tbAllTrades[Exit Date],"="&amp; tbAllTrades[[#This Row],[Exit Date]],tbAllTrades[Stock],tbAllTrades[[#This Row],[Stock]],tbAllTrades[Strategy],tbAllTrades[[#This Row],[Strategy]]),
SUMIFS(tbAllTrades[Cost Basis],tbAllTrades[Exit Date],"="&amp; tbAllTrades[[#This Row],[Exit Date]],tbAllTrades[Stock],tbAllTrades[[#This Row],[Stock]]))</f>
        <v>0</v>
      </c>
      <c r="AG11" s="226" t="str">
        <f>IFERROR(tbAllTrades[[#This Row],[Cost Basis Combined]]/(_xlfn.XLOOKUP(tbAllTrades[[#This Row],[Cur]],tbExchangeRate[Currency],tbExchangeRate[Exchange Rate],,0,1)),"No Cur")</f>
        <v>No Cur</v>
      </c>
      <c r="AH11" s="170" t="str">
        <f>IFERROR(IF(tbAllTrades[[#This Row],[Exit Price]]="","",(tbAllTrades[[#This Row],[ROI (%) + Dividend]]*(365/tbAllTrades[[#This Row],[Days]]))),0)</f>
        <v/>
      </c>
      <c r="AI11" s="174">
        <f ca="1">IF(tbAllTrades[[#This Row],[Exit Date]]&lt;&gt;"",tbAllTrades[[#This Row],[Exit Date]]-tbAllTrades[[#This Row],[Entry Date]],IF(TodaysDate-tbAllTrades[[#This Row],[Entry Date]]&gt;40000,0,TodaysDate-tbAllTrades[[#This Row],[Entry Date]]))</f>
        <v>0</v>
      </c>
      <c r="AJ11" s="14"/>
      <c r="AK11" s="175"/>
    </row>
    <row r="12" spans="1:42">
      <c r="A12" s="6"/>
      <c r="B12" s="161"/>
      <c r="C12" s="161"/>
      <c r="D12" s="5"/>
      <c r="E12" s="5"/>
      <c r="F12" s="5"/>
      <c r="G12" s="161"/>
      <c r="H12" s="49"/>
      <c r="I12" s="50"/>
      <c r="J12" s="129"/>
      <c r="K12" s="169">
        <f>tbAllTrades[[#This Row],[Entry Price]]*tbAllTrades[[#This Row],[No. of Shares]]</f>
        <v>0</v>
      </c>
      <c r="L12" s="52"/>
      <c r="M12" s="170">
        <f>IF(tbAllTrades[[#This Row],[Strategy]]&lt;&gt;"",
SUMIFS(tbAllTrades[Position Size],tbAllTrades[Exit Date],"="&amp; tbAllTrades[[#This Row],[Exit Date]],tbAllTrades[Stock],tbAllTrades[[#This Row],[Stock]],tbAllTrades[Strategy],tbAllTrades[[#This Row],[Strategy]]),
SUMIFS(tbAllTrades[Position Size],tbAllTrades[Exit Date],"="&amp; tbAllTrades[[#This Row],[Exit Date]],tbAllTrades[Stock],tbAllTrades[[#This Row],[Stock]]))</f>
        <v>0</v>
      </c>
      <c r="N12" s="170" t="str">
        <f>IFERROR(tbAllTrades[[#This Row],[Cost Basis Com in Base Curr]]/Portfolio_Balance,"No Cur")</f>
        <v>No Cur</v>
      </c>
      <c r="O12" s="221"/>
      <c r="P12" s="51"/>
      <c r="Q12" s="169">
        <f>tbAllTrades[[#This Row],[Exit Price]]*tbAllTrades[[#This Row],[No. of Shares]]</f>
        <v>0</v>
      </c>
      <c r="R12" s="116"/>
      <c r="S12" s="50"/>
      <c r="T12" s="171" t="str">
        <f>IF(tbAllTrades[[#This Row],[Exit Price]]="","",IF(tbAllTrades[[#This Row],[Short Sold]]&lt;&gt;"",tbAllTrades[[#This Row],[Cost Basis]]-tbAllTrades[[#This Row],[Investment Out]],tbAllTrades[[#This Row],[Investment Out]]-tbAllTrades[[#This Row],[Cost Basis]]))</f>
        <v/>
      </c>
      <c r="U12" s="171">
        <f>IF(tbAllTrades[[#This Row],[Strategy]]&lt;&gt;"",
(SUMIFS(tbAllTrades[ROI ($)],tbAllTrades[Exit Date],"="&amp; tbAllTrades[[#This Row],[Exit Date]],tbAllTrades[Stock],tbAllTrades[[#This Row],[Stock]],tbAllTrades[Strategy],tbAllTrades[[#This Row],[Strategy]])),
(SUMIFS(tbAllTrades[ROI ($)],tbAllTrades[Exit Date],"="&amp; tbAllTrades[[#This Row],[Exit Date]],tbAllTrades[Stock],tbAllTrades[[#This Row],[Stock]])))</f>
        <v>0</v>
      </c>
      <c r="V12" s="170" t="str">
        <f>IF(tbAllTrades[[#This Row],[Exit Price]]="","",(tbAllTrades[[#This Row],[ROI ($)]]/tbAllTrades[[#This Row],[Cost Basis]]))</f>
        <v/>
      </c>
      <c r="W12" s="170">
        <f>IFERROR((tbAllTrades[[#This Row],[Combined ROI ($)]]/tbAllTrades[[#This Row],[Cost Basis Combined]]),0)</f>
        <v>0</v>
      </c>
      <c r="X12" s="51"/>
      <c r="Y12" s="271">
        <f>tbAllTrades[[#This Row],[Dividends (cents)]]*tbAllTrades[[#This Row],[No. of Shares]]</f>
        <v>0</v>
      </c>
      <c r="Z12" s="172" t="str">
        <f>IF(tbAllTrades[[#This Row],[Exit Price]]="","",IF(tbAllTrades[[#This Row],[Short Sold]]&lt;&gt;"",tbAllTrades[[#This Row],[Investment In]]-tbAllTrades[[#This Row],[Investment Out]]-tbAllTrades[[#This Row],[Dividend Total]]-tbAllTrades[[#This Row],[Commission]],tbAllTrades[[#This Row],[Investment Out]]-tbAllTrades[[#This Row],[Investment In]]+tbAllTrades[[#This Row],[Dividend Total]]-tbAllTrades[[#This Row],[Commission]]))</f>
        <v/>
      </c>
      <c r="AA12" s="172">
        <f>IF(tbAllTrades[[#This Row],[Strategy]]&lt;&gt;"",(SUMIFS(tbAllTrades[ROI ($) + Dividend],tbAllTrades[Exit Date],"="&amp; tbAllTrades[[#This Row],[Exit Date]],tbAllTrades[Stock],tbAllTrades[[#This Row],[Stock]],tbAllTrades[Strategy],tbAllTrades[[#This Row],[Strategy]])),(SUMIFS(tbAllTrades[ROI ($) + Dividend],tbAllTrades[Exit Date],"="&amp; tbAllTrades[[#This Row],[Exit Date]],tbAllTrades[Stock],tbAllTrades[[#This Row],[Stock]])))</f>
        <v>0</v>
      </c>
      <c r="AB12" s="172">
        <f>SUMIFS(tbAllTrades[ROI ($) + Dividend],tbAllTrades[Exit Date],"="&amp; tbAllTrades[[#This Row],[Exit Date]],tbAllTrades[Stock],tbAllTrades[[#This Row],[Stock]])</f>
        <v>0</v>
      </c>
      <c r="AC12" s="173" t="str">
        <f>IF(tbAllTrades[[#This Row],[Exit Price]]="","",(tbAllTrades[[#This Row],[ROI ($) + Dividend]]/tbAllTrades[[#This Row],[Cost Basis]]))</f>
        <v/>
      </c>
      <c r="AD12" s="170">
        <f>IFERROR((tbAllTrades[[#This Row],[Comb ROI ($) + Div by Strat]]/tbAllTrades[[#This Row],[Cost Basis Combined]]),0)</f>
        <v>0</v>
      </c>
      <c r="AE12" s="226">
        <f>tbAllTrades[[#This Row],[Investment In]]+tbAllTrades[[#This Row],[Commission]]</f>
        <v>0</v>
      </c>
      <c r="AF12" s="226">
        <f>IF(tbAllTrades[[#This Row],[Strategy]]&lt;&gt;"",
SUMIFS(tbAllTrades[Cost Basis],tbAllTrades[Exit Date],"="&amp; tbAllTrades[[#This Row],[Exit Date]],tbAllTrades[Stock],tbAllTrades[[#This Row],[Stock]],tbAllTrades[Strategy],tbAllTrades[[#This Row],[Strategy]]),
SUMIFS(tbAllTrades[Cost Basis],tbAllTrades[Exit Date],"="&amp; tbAllTrades[[#This Row],[Exit Date]],tbAllTrades[Stock],tbAllTrades[[#This Row],[Stock]]))</f>
        <v>0</v>
      </c>
      <c r="AG12" s="226" t="str">
        <f>IFERROR(tbAllTrades[[#This Row],[Cost Basis Combined]]/(_xlfn.XLOOKUP(tbAllTrades[[#This Row],[Cur]],tbExchangeRate[Currency],tbExchangeRate[Exchange Rate],,0,1)),"No Cur")</f>
        <v>No Cur</v>
      </c>
      <c r="AH12" s="170" t="str">
        <f>IFERROR(IF(tbAllTrades[[#This Row],[Exit Price]]="","",(tbAllTrades[[#This Row],[ROI (%) + Dividend]]*(365/tbAllTrades[[#This Row],[Days]]))),0)</f>
        <v/>
      </c>
      <c r="AI12" s="174">
        <f ca="1">IF(tbAllTrades[[#This Row],[Exit Date]]&lt;&gt;"",tbAllTrades[[#This Row],[Exit Date]]-tbAllTrades[[#This Row],[Entry Date]],IF(TodaysDate-tbAllTrades[[#This Row],[Entry Date]]&gt;40000,0,TodaysDate-tbAllTrades[[#This Row],[Entry Date]]))</f>
        <v>0</v>
      </c>
      <c r="AJ12" s="14"/>
      <c r="AK12" s="175"/>
    </row>
    <row r="13" spans="1:42">
      <c r="A13" s="6"/>
      <c r="B13" s="161"/>
      <c r="C13" s="161"/>
      <c r="D13" s="5"/>
      <c r="E13" s="5"/>
      <c r="F13" s="5"/>
      <c r="G13" s="161"/>
      <c r="H13" s="49"/>
      <c r="I13" s="50"/>
      <c r="J13" s="129"/>
      <c r="K13" s="169">
        <f>tbAllTrades[[#This Row],[Entry Price]]*tbAllTrades[[#This Row],[No. of Shares]]</f>
        <v>0</v>
      </c>
      <c r="L13" s="52"/>
      <c r="M13" s="170">
        <f>IF(tbAllTrades[[#This Row],[Strategy]]&lt;&gt;"",
SUMIFS(tbAllTrades[Position Size],tbAllTrades[Exit Date],"="&amp; tbAllTrades[[#This Row],[Exit Date]],tbAllTrades[Stock],tbAllTrades[[#This Row],[Stock]],tbAllTrades[Strategy],tbAllTrades[[#This Row],[Strategy]]),
SUMIFS(tbAllTrades[Position Size],tbAllTrades[Exit Date],"="&amp; tbAllTrades[[#This Row],[Exit Date]],tbAllTrades[Stock],tbAllTrades[[#This Row],[Stock]]))</f>
        <v>0</v>
      </c>
      <c r="N13" s="170" t="str">
        <f>IFERROR(tbAllTrades[[#This Row],[Cost Basis Com in Base Curr]]/Portfolio_Balance,"No Cur")</f>
        <v>No Cur</v>
      </c>
      <c r="O13" s="221"/>
      <c r="P13" s="51"/>
      <c r="Q13" s="169">
        <f>tbAllTrades[[#This Row],[Exit Price]]*tbAllTrades[[#This Row],[No. of Shares]]</f>
        <v>0</v>
      </c>
      <c r="R13" s="116"/>
      <c r="S13" s="50"/>
      <c r="T13" s="171" t="str">
        <f>IF(tbAllTrades[[#This Row],[Exit Price]]="","",IF(tbAllTrades[[#This Row],[Short Sold]]&lt;&gt;"",tbAllTrades[[#This Row],[Cost Basis]]-tbAllTrades[[#This Row],[Investment Out]],tbAllTrades[[#This Row],[Investment Out]]-tbAllTrades[[#This Row],[Cost Basis]]))</f>
        <v/>
      </c>
      <c r="U13" s="171">
        <f>IF(tbAllTrades[[#This Row],[Strategy]]&lt;&gt;"",
(SUMIFS(tbAllTrades[ROI ($)],tbAllTrades[Exit Date],"="&amp; tbAllTrades[[#This Row],[Exit Date]],tbAllTrades[Stock],tbAllTrades[[#This Row],[Stock]],tbAllTrades[Strategy],tbAllTrades[[#This Row],[Strategy]])),
(SUMIFS(tbAllTrades[ROI ($)],tbAllTrades[Exit Date],"="&amp; tbAllTrades[[#This Row],[Exit Date]],tbAllTrades[Stock],tbAllTrades[[#This Row],[Stock]])))</f>
        <v>0</v>
      </c>
      <c r="V13" s="170" t="str">
        <f>IF(tbAllTrades[[#This Row],[Exit Price]]="","",(tbAllTrades[[#This Row],[ROI ($)]]/tbAllTrades[[#This Row],[Cost Basis]]))</f>
        <v/>
      </c>
      <c r="W13" s="170">
        <f>IFERROR((tbAllTrades[[#This Row],[Combined ROI ($)]]/tbAllTrades[[#This Row],[Cost Basis Combined]]),0)</f>
        <v>0</v>
      </c>
      <c r="X13" s="51"/>
      <c r="Y13" s="271">
        <f>tbAllTrades[[#This Row],[Dividends (cents)]]*tbAllTrades[[#This Row],[No. of Shares]]</f>
        <v>0</v>
      </c>
      <c r="Z13" s="172" t="str">
        <f>IF(tbAllTrades[[#This Row],[Exit Price]]="","",IF(tbAllTrades[[#This Row],[Short Sold]]&lt;&gt;"",tbAllTrades[[#This Row],[Investment In]]-tbAllTrades[[#This Row],[Investment Out]]-tbAllTrades[[#This Row],[Dividend Total]]-tbAllTrades[[#This Row],[Commission]],tbAllTrades[[#This Row],[Investment Out]]-tbAllTrades[[#This Row],[Investment In]]+tbAllTrades[[#This Row],[Dividend Total]]-tbAllTrades[[#This Row],[Commission]]))</f>
        <v/>
      </c>
      <c r="AA13" s="172">
        <f>IF(tbAllTrades[[#This Row],[Strategy]]&lt;&gt;"",(SUMIFS(tbAllTrades[ROI ($) + Dividend],tbAllTrades[Exit Date],"="&amp; tbAllTrades[[#This Row],[Exit Date]],tbAllTrades[Stock],tbAllTrades[[#This Row],[Stock]],tbAllTrades[Strategy],tbAllTrades[[#This Row],[Strategy]])),(SUMIFS(tbAllTrades[ROI ($) + Dividend],tbAllTrades[Exit Date],"="&amp; tbAllTrades[[#This Row],[Exit Date]],tbAllTrades[Stock],tbAllTrades[[#This Row],[Stock]])))</f>
        <v>0</v>
      </c>
      <c r="AB13" s="172">
        <f>SUMIFS(tbAllTrades[ROI ($) + Dividend],tbAllTrades[Exit Date],"="&amp; tbAllTrades[[#This Row],[Exit Date]],tbAllTrades[Stock],tbAllTrades[[#This Row],[Stock]])</f>
        <v>0</v>
      </c>
      <c r="AC13" s="173" t="str">
        <f>IF(tbAllTrades[[#This Row],[Exit Price]]="","",(tbAllTrades[[#This Row],[ROI ($) + Dividend]]/tbAllTrades[[#This Row],[Cost Basis]]))</f>
        <v/>
      </c>
      <c r="AD13" s="170">
        <f>IFERROR((tbAllTrades[[#This Row],[Comb ROI ($) + Div by Strat]]/tbAllTrades[[#This Row],[Cost Basis Combined]]),0)</f>
        <v>0</v>
      </c>
      <c r="AE13" s="226">
        <f>tbAllTrades[[#This Row],[Investment In]]+tbAllTrades[[#This Row],[Commission]]</f>
        <v>0</v>
      </c>
      <c r="AF13" s="226">
        <f>IF(tbAllTrades[[#This Row],[Strategy]]&lt;&gt;"",
SUMIFS(tbAllTrades[Cost Basis],tbAllTrades[Exit Date],"="&amp; tbAllTrades[[#This Row],[Exit Date]],tbAllTrades[Stock],tbAllTrades[[#This Row],[Stock]],tbAllTrades[Strategy],tbAllTrades[[#This Row],[Strategy]]),
SUMIFS(tbAllTrades[Cost Basis],tbAllTrades[Exit Date],"="&amp; tbAllTrades[[#This Row],[Exit Date]],tbAllTrades[Stock],tbAllTrades[[#This Row],[Stock]]))</f>
        <v>0</v>
      </c>
      <c r="AG13" s="226" t="str">
        <f>IFERROR(tbAllTrades[[#This Row],[Cost Basis Combined]]/(_xlfn.XLOOKUP(tbAllTrades[[#This Row],[Cur]],tbExchangeRate[Currency],tbExchangeRate[Exchange Rate],,0,1)),"No Cur")</f>
        <v>No Cur</v>
      </c>
      <c r="AH13" s="170" t="str">
        <f>IFERROR(IF(tbAllTrades[[#This Row],[Exit Price]]="","",(tbAllTrades[[#This Row],[ROI (%) + Dividend]]*(365/tbAllTrades[[#This Row],[Days]]))),0)</f>
        <v/>
      </c>
      <c r="AI13" s="174">
        <f ca="1">IF(tbAllTrades[[#This Row],[Exit Date]]&lt;&gt;"",tbAllTrades[[#This Row],[Exit Date]]-tbAllTrades[[#This Row],[Entry Date]],IF(TodaysDate-tbAllTrades[[#This Row],[Entry Date]]&gt;40000,0,TodaysDate-tbAllTrades[[#This Row],[Entry Date]]))</f>
        <v>0</v>
      </c>
      <c r="AJ13" s="14"/>
      <c r="AK13" s="175"/>
    </row>
    <row r="14" spans="1:42">
      <c r="A14" s="6"/>
      <c r="B14" s="161"/>
      <c r="C14" s="161"/>
      <c r="D14" s="5"/>
      <c r="E14" s="5"/>
      <c r="F14" s="5"/>
      <c r="G14" s="161"/>
      <c r="H14" s="49"/>
      <c r="I14" s="50"/>
      <c r="J14" s="129"/>
      <c r="K14" s="169">
        <f>tbAllTrades[[#This Row],[Entry Price]]*tbAllTrades[[#This Row],[No. of Shares]]</f>
        <v>0</v>
      </c>
      <c r="L14" s="52"/>
      <c r="M14" s="170">
        <f>IF(tbAllTrades[[#This Row],[Strategy]]&lt;&gt;"",
SUMIFS(tbAllTrades[Position Size],tbAllTrades[Exit Date],"="&amp; tbAllTrades[[#This Row],[Exit Date]],tbAllTrades[Stock],tbAllTrades[[#This Row],[Stock]],tbAllTrades[Strategy],tbAllTrades[[#This Row],[Strategy]]),
SUMIFS(tbAllTrades[Position Size],tbAllTrades[Exit Date],"="&amp; tbAllTrades[[#This Row],[Exit Date]],tbAllTrades[Stock],tbAllTrades[[#This Row],[Stock]]))</f>
        <v>0</v>
      </c>
      <c r="N14" s="170" t="str">
        <f>IFERROR(tbAllTrades[[#This Row],[Cost Basis Com in Base Curr]]/Portfolio_Balance,"No Cur")</f>
        <v>No Cur</v>
      </c>
      <c r="O14" s="221"/>
      <c r="P14" s="51"/>
      <c r="Q14" s="169">
        <f>tbAllTrades[[#This Row],[Exit Price]]*tbAllTrades[[#This Row],[No. of Shares]]</f>
        <v>0</v>
      </c>
      <c r="R14" s="116"/>
      <c r="S14" s="50"/>
      <c r="T14" s="171" t="str">
        <f>IF(tbAllTrades[[#This Row],[Exit Price]]="","",IF(tbAllTrades[[#This Row],[Short Sold]]&lt;&gt;"",tbAllTrades[[#This Row],[Cost Basis]]-tbAllTrades[[#This Row],[Investment Out]],tbAllTrades[[#This Row],[Investment Out]]-tbAllTrades[[#This Row],[Cost Basis]]))</f>
        <v/>
      </c>
      <c r="U14" s="171">
        <f>IF(tbAllTrades[[#This Row],[Strategy]]&lt;&gt;"",
(SUMIFS(tbAllTrades[ROI ($)],tbAllTrades[Exit Date],"="&amp; tbAllTrades[[#This Row],[Exit Date]],tbAllTrades[Stock],tbAllTrades[[#This Row],[Stock]],tbAllTrades[Strategy],tbAllTrades[[#This Row],[Strategy]])),
(SUMIFS(tbAllTrades[ROI ($)],tbAllTrades[Exit Date],"="&amp; tbAllTrades[[#This Row],[Exit Date]],tbAllTrades[Stock],tbAllTrades[[#This Row],[Stock]])))</f>
        <v>0</v>
      </c>
      <c r="V14" s="170" t="str">
        <f>IF(tbAllTrades[[#This Row],[Exit Price]]="","",(tbAllTrades[[#This Row],[ROI ($)]]/tbAllTrades[[#This Row],[Cost Basis]]))</f>
        <v/>
      </c>
      <c r="W14" s="170">
        <f>IFERROR((tbAllTrades[[#This Row],[Combined ROI ($)]]/tbAllTrades[[#This Row],[Cost Basis Combined]]),0)</f>
        <v>0</v>
      </c>
      <c r="X14" s="51"/>
      <c r="Y14" s="271">
        <f>tbAllTrades[[#This Row],[Dividends (cents)]]*tbAllTrades[[#This Row],[No. of Shares]]</f>
        <v>0</v>
      </c>
      <c r="Z14" s="172" t="str">
        <f>IF(tbAllTrades[[#This Row],[Exit Price]]="","",IF(tbAllTrades[[#This Row],[Short Sold]]&lt;&gt;"",tbAllTrades[[#This Row],[Investment In]]-tbAllTrades[[#This Row],[Investment Out]]-tbAllTrades[[#This Row],[Dividend Total]]-tbAllTrades[[#This Row],[Commission]],tbAllTrades[[#This Row],[Investment Out]]-tbAllTrades[[#This Row],[Investment In]]+tbAllTrades[[#This Row],[Dividend Total]]-tbAllTrades[[#This Row],[Commission]]))</f>
        <v/>
      </c>
      <c r="AA14" s="172">
        <f>IF(tbAllTrades[[#This Row],[Strategy]]&lt;&gt;"",(SUMIFS(tbAllTrades[ROI ($) + Dividend],tbAllTrades[Exit Date],"="&amp; tbAllTrades[[#This Row],[Exit Date]],tbAllTrades[Stock],tbAllTrades[[#This Row],[Stock]],tbAllTrades[Strategy],tbAllTrades[[#This Row],[Strategy]])),(SUMIFS(tbAllTrades[ROI ($) + Dividend],tbAllTrades[Exit Date],"="&amp; tbAllTrades[[#This Row],[Exit Date]],tbAllTrades[Stock],tbAllTrades[[#This Row],[Stock]])))</f>
        <v>0</v>
      </c>
      <c r="AB14" s="172">
        <f>SUMIFS(tbAllTrades[ROI ($) + Dividend],tbAllTrades[Exit Date],"="&amp; tbAllTrades[[#This Row],[Exit Date]],tbAllTrades[Stock],tbAllTrades[[#This Row],[Stock]])</f>
        <v>0</v>
      </c>
      <c r="AC14" s="173" t="str">
        <f>IF(tbAllTrades[[#This Row],[Exit Price]]="","",(tbAllTrades[[#This Row],[ROI ($) + Dividend]]/tbAllTrades[[#This Row],[Cost Basis]]))</f>
        <v/>
      </c>
      <c r="AD14" s="170">
        <f>IFERROR((tbAllTrades[[#This Row],[Comb ROI ($) + Div by Strat]]/tbAllTrades[[#This Row],[Cost Basis Combined]]),0)</f>
        <v>0</v>
      </c>
      <c r="AE14" s="226">
        <f>tbAllTrades[[#This Row],[Investment In]]+tbAllTrades[[#This Row],[Commission]]</f>
        <v>0</v>
      </c>
      <c r="AF14" s="226">
        <f>IF(tbAllTrades[[#This Row],[Strategy]]&lt;&gt;"",
SUMIFS(tbAllTrades[Cost Basis],tbAllTrades[Exit Date],"="&amp; tbAllTrades[[#This Row],[Exit Date]],tbAllTrades[Stock],tbAllTrades[[#This Row],[Stock]],tbAllTrades[Strategy],tbAllTrades[[#This Row],[Strategy]]),
SUMIFS(tbAllTrades[Cost Basis],tbAllTrades[Exit Date],"="&amp; tbAllTrades[[#This Row],[Exit Date]],tbAllTrades[Stock],tbAllTrades[[#This Row],[Stock]]))</f>
        <v>0</v>
      </c>
      <c r="AG14" s="226" t="str">
        <f>IFERROR(tbAllTrades[[#This Row],[Cost Basis Combined]]/(_xlfn.XLOOKUP(tbAllTrades[[#This Row],[Cur]],tbExchangeRate[Currency],tbExchangeRate[Exchange Rate],,0,1)),"No Cur")</f>
        <v>No Cur</v>
      </c>
      <c r="AH14" s="170" t="str">
        <f>IFERROR(IF(tbAllTrades[[#This Row],[Exit Price]]="","",(tbAllTrades[[#This Row],[ROI (%) + Dividend]]*(365/tbAllTrades[[#This Row],[Days]]))),0)</f>
        <v/>
      </c>
      <c r="AI14" s="174">
        <f ca="1">IF(tbAllTrades[[#This Row],[Exit Date]]&lt;&gt;"",tbAllTrades[[#This Row],[Exit Date]]-tbAllTrades[[#This Row],[Entry Date]],IF(TodaysDate-tbAllTrades[[#This Row],[Entry Date]]&gt;40000,0,TodaysDate-tbAllTrades[[#This Row],[Entry Date]]))</f>
        <v>0</v>
      </c>
      <c r="AJ14" s="14"/>
      <c r="AK14" s="175"/>
    </row>
    <row r="15" spans="1:42">
      <c r="A15" s="6"/>
      <c r="B15" s="161"/>
      <c r="C15" s="161"/>
      <c r="D15" s="5"/>
      <c r="E15" s="5"/>
      <c r="F15" s="5"/>
      <c r="G15" s="161"/>
      <c r="H15" s="49"/>
      <c r="I15" s="50"/>
      <c r="J15" s="129"/>
      <c r="K15" s="169">
        <f>tbAllTrades[[#This Row],[Entry Price]]*tbAllTrades[[#This Row],[No. of Shares]]</f>
        <v>0</v>
      </c>
      <c r="L15" s="52"/>
      <c r="M15" s="170">
        <f>IF(tbAllTrades[[#This Row],[Strategy]]&lt;&gt;"",
SUMIFS(tbAllTrades[Position Size],tbAllTrades[Exit Date],"="&amp; tbAllTrades[[#This Row],[Exit Date]],tbAllTrades[Stock],tbAllTrades[[#This Row],[Stock]],tbAllTrades[Strategy],tbAllTrades[[#This Row],[Strategy]]),
SUMIFS(tbAllTrades[Position Size],tbAllTrades[Exit Date],"="&amp; tbAllTrades[[#This Row],[Exit Date]],tbAllTrades[Stock],tbAllTrades[[#This Row],[Stock]]))</f>
        <v>0</v>
      </c>
      <c r="N15" s="170" t="str">
        <f>IFERROR(tbAllTrades[[#This Row],[Cost Basis Com in Base Curr]]/Portfolio_Balance,"No Cur")</f>
        <v>No Cur</v>
      </c>
      <c r="O15" s="221"/>
      <c r="P15" s="51"/>
      <c r="Q15" s="169">
        <f>tbAllTrades[[#This Row],[Exit Price]]*tbAllTrades[[#This Row],[No. of Shares]]</f>
        <v>0</v>
      </c>
      <c r="R15" s="116"/>
      <c r="S15" s="50"/>
      <c r="T15" s="171" t="str">
        <f>IF(tbAllTrades[[#This Row],[Exit Price]]="","",IF(tbAllTrades[[#This Row],[Short Sold]]&lt;&gt;"",tbAllTrades[[#This Row],[Cost Basis]]-tbAllTrades[[#This Row],[Investment Out]],tbAllTrades[[#This Row],[Investment Out]]-tbAllTrades[[#This Row],[Cost Basis]]))</f>
        <v/>
      </c>
      <c r="U15" s="171">
        <f>IF(tbAllTrades[[#This Row],[Strategy]]&lt;&gt;"",
(SUMIFS(tbAllTrades[ROI ($)],tbAllTrades[Exit Date],"="&amp; tbAllTrades[[#This Row],[Exit Date]],tbAllTrades[Stock],tbAllTrades[[#This Row],[Stock]],tbAllTrades[Strategy],tbAllTrades[[#This Row],[Strategy]])),
(SUMIFS(tbAllTrades[ROI ($)],tbAllTrades[Exit Date],"="&amp; tbAllTrades[[#This Row],[Exit Date]],tbAllTrades[Stock],tbAllTrades[[#This Row],[Stock]])))</f>
        <v>0</v>
      </c>
      <c r="V15" s="170" t="str">
        <f>IF(tbAllTrades[[#This Row],[Exit Price]]="","",(tbAllTrades[[#This Row],[ROI ($)]]/tbAllTrades[[#This Row],[Cost Basis]]))</f>
        <v/>
      </c>
      <c r="W15" s="170">
        <f>IFERROR((tbAllTrades[[#This Row],[Combined ROI ($)]]/tbAllTrades[[#This Row],[Cost Basis Combined]]),0)</f>
        <v>0</v>
      </c>
      <c r="X15" s="51"/>
      <c r="Y15" s="271">
        <f>tbAllTrades[[#This Row],[Dividends (cents)]]*tbAllTrades[[#This Row],[No. of Shares]]</f>
        <v>0</v>
      </c>
      <c r="Z15" s="172" t="str">
        <f>IF(tbAllTrades[[#This Row],[Exit Price]]="","",IF(tbAllTrades[[#This Row],[Short Sold]]&lt;&gt;"",tbAllTrades[[#This Row],[Investment In]]-tbAllTrades[[#This Row],[Investment Out]]-tbAllTrades[[#This Row],[Dividend Total]]-tbAllTrades[[#This Row],[Commission]],tbAllTrades[[#This Row],[Investment Out]]-tbAllTrades[[#This Row],[Investment In]]+tbAllTrades[[#This Row],[Dividend Total]]-tbAllTrades[[#This Row],[Commission]]))</f>
        <v/>
      </c>
      <c r="AA15" s="172">
        <f>IF(tbAllTrades[[#This Row],[Strategy]]&lt;&gt;"",(SUMIFS(tbAllTrades[ROI ($) + Dividend],tbAllTrades[Exit Date],"="&amp; tbAllTrades[[#This Row],[Exit Date]],tbAllTrades[Stock],tbAllTrades[[#This Row],[Stock]],tbAllTrades[Strategy],tbAllTrades[[#This Row],[Strategy]])),(SUMIFS(tbAllTrades[ROI ($) + Dividend],tbAllTrades[Exit Date],"="&amp; tbAllTrades[[#This Row],[Exit Date]],tbAllTrades[Stock],tbAllTrades[[#This Row],[Stock]])))</f>
        <v>0</v>
      </c>
      <c r="AB15" s="172">
        <f>SUMIFS(tbAllTrades[ROI ($) + Dividend],tbAllTrades[Exit Date],"="&amp; tbAllTrades[[#This Row],[Exit Date]],tbAllTrades[Stock],tbAllTrades[[#This Row],[Stock]])</f>
        <v>0</v>
      </c>
      <c r="AC15" s="173" t="str">
        <f>IF(tbAllTrades[[#This Row],[Exit Price]]="","",(tbAllTrades[[#This Row],[ROI ($) + Dividend]]/tbAllTrades[[#This Row],[Cost Basis]]))</f>
        <v/>
      </c>
      <c r="AD15" s="170">
        <f>IFERROR((tbAllTrades[[#This Row],[Comb ROI ($) + Div by Strat]]/tbAllTrades[[#This Row],[Cost Basis Combined]]),0)</f>
        <v>0</v>
      </c>
      <c r="AE15" s="226">
        <f>tbAllTrades[[#This Row],[Investment In]]+tbAllTrades[[#This Row],[Commission]]</f>
        <v>0</v>
      </c>
      <c r="AF15" s="226">
        <f>IF(tbAllTrades[[#This Row],[Strategy]]&lt;&gt;"",
SUMIFS(tbAllTrades[Cost Basis],tbAllTrades[Exit Date],"="&amp; tbAllTrades[[#This Row],[Exit Date]],tbAllTrades[Stock],tbAllTrades[[#This Row],[Stock]],tbAllTrades[Strategy],tbAllTrades[[#This Row],[Strategy]]),
SUMIFS(tbAllTrades[Cost Basis],tbAllTrades[Exit Date],"="&amp; tbAllTrades[[#This Row],[Exit Date]],tbAllTrades[Stock],tbAllTrades[[#This Row],[Stock]]))</f>
        <v>0</v>
      </c>
      <c r="AG15" s="226" t="str">
        <f>IFERROR(tbAllTrades[[#This Row],[Cost Basis Combined]]/(_xlfn.XLOOKUP(tbAllTrades[[#This Row],[Cur]],tbExchangeRate[Currency],tbExchangeRate[Exchange Rate],,0,1)),"No Cur")</f>
        <v>No Cur</v>
      </c>
      <c r="AH15" s="170" t="str">
        <f>IFERROR(IF(tbAllTrades[[#This Row],[Exit Price]]="","",(tbAllTrades[[#This Row],[ROI (%) + Dividend]]*(365/tbAllTrades[[#This Row],[Days]]))),0)</f>
        <v/>
      </c>
      <c r="AI15" s="174">
        <f ca="1">IF(tbAllTrades[[#This Row],[Exit Date]]&lt;&gt;"",tbAllTrades[[#This Row],[Exit Date]]-tbAllTrades[[#This Row],[Entry Date]],IF(TodaysDate-tbAllTrades[[#This Row],[Entry Date]]&gt;40000,0,TodaysDate-tbAllTrades[[#This Row],[Entry Date]]))</f>
        <v>0</v>
      </c>
      <c r="AJ15" s="14"/>
      <c r="AK15" s="175"/>
    </row>
    <row r="16" spans="1:42">
      <c r="A16" s="6"/>
      <c r="B16" s="161"/>
      <c r="C16" s="161"/>
      <c r="D16" s="5"/>
      <c r="E16" s="5"/>
      <c r="F16" s="5"/>
      <c r="G16" s="161"/>
      <c r="H16" s="49"/>
      <c r="I16" s="50"/>
      <c r="J16" s="129"/>
      <c r="K16" s="169">
        <f>tbAllTrades[[#This Row],[Entry Price]]*tbAllTrades[[#This Row],[No. of Shares]]</f>
        <v>0</v>
      </c>
      <c r="L16" s="52"/>
      <c r="M16" s="170">
        <f>IF(tbAllTrades[[#This Row],[Strategy]]&lt;&gt;"",
SUMIFS(tbAllTrades[Position Size],tbAllTrades[Exit Date],"="&amp; tbAllTrades[[#This Row],[Exit Date]],tbAllTrades[Stock],tbAllTrades[[#This Row],[Stock]],tbAllTrades[Strategy],tbAllTrades[[#This Row],[Strategy]]),
SUMIFS(tbAllTrades[Position Size],tbAllTrades[Exit Date],"="&amp; tbAllTrades[[#This Row],[Exit Date]],tbAllTrades[Stock],tbAllTrades[[#This Row],[Stock]]))</f>
        <v>0</v>
      </c>
      <c r="N16" s="170" t="str">
        <f>IFERROR(tbAllTrades[[#This Row],[Cost Basis Com in Base Curr]]/Portfolio_Balance,"No Cur")</f>
        <v>No Cur</v>
      </c>
      <c r="O16" s="221"/>
      <c r="P16" s="51"/>
      <c r="Q16" s="169">
        <f>tbAllTrades[[#This Row],[Exit Price]]*tbAllTrades[[#This Row],[No. of Shares]]</f>
        <v>0</v>
      </c>
      <c r="R16" s="116"/>
      <c r="S16" s="50"/>
      <c r="T16" s="171" t="str">
        <f>IF(tbAllTrades[[#This Row],[Exit Price]]="","",IF(tbAllTrades[[#This Row],[Short Sold]]&lt;&gt;"",tbAllTrades[[#This Row],[Cost Basis]]-tbAllTrades[[#This Row],[Investment Out]],tbAllTrades[[#This Row],[Investment Out]]-tbAllTrades[[#This Row],[Cost Basis]]))</f>
        <v/>
      </c>
      <c r="U16" s="171">
        <f>IF(tbAllTrades[[#This Row],[Strategy]]&lt;&gt;"",
(SUMIFS(tbAllTrades[ROI ($)],tbAllTrades[Exit Date],"="&amp; tbAllTrades[[#This Row],[Exit Date]],tbAllTrades[Stock],tbAllTrades[[#This Row],[Stock]],tbAllTrades[Strategy],tbAllTrades[[#This Row],[Strategy]])),
(SUMIFS(tbAllTrades[ROI ($)],tbAllTrades[Exit Date],"="&amp; tbAllTrades[[#This Row],[Exit Date]],tbAllTrades[Stock],tbAllTrades[[#This Row],[Stock]])))</f>
        <v>0</v>
      </c>
      <c r="V16" s="170" t="str">
        <f>IF(tbAllTrades[[#This Row],[Exit Price]]="","",(tbAllTrades[[#This Row],[ROI ($)]]/tbAllTrades[[#This Row],[Cost Basis]]))</f>
        <v/>
      </c>
      <c r="W16" s="170">
        <f>IFERROR((tbAllTrades[[#This Row],[Combined ROI ($)]]/tbAllTrades[[#This Row],[Cost Basis Combined]]),0)</f>
        <v>0</v>
      </c>
      <c r="X16" s="51"/>
      <c r="Y16" s="271">
        <f>tbAllTrades[[#This Row],[Dividends (cents)]]*tbAllTrades[[#This Row],[No. of Shares]]</f>
        <v>0</v>
      </c>
      <c r="Z16" s="172" t="str">
        <f>IF(tbAllTrades[[#This Row],[Exit Price]]="","",IF(tbAllTrades[[#This Row],[Short Sold]]&lt;&gt;"",tbAllTrades[[#This Row],[Investment In]]-tbAllTrades[[#This Row],[Investment Out]]-tbAllTrades[[#This Row],[Dividend Total]]-tbAllTrades[[#This Row],[Commission]],tbAllTrades[[#This Row],[Investment Out]]-tbAllTrades[[#This Row],[Investment In]]+tbAllTrades[[#This Row],[Dividend Total]]-tbAllTrades[[#This Row],[Commission]]))</f>
        <v/>
      </c>
      <c r="AA16" s="172">
        <f>IF(tbAllTrades[[#This Row],[Strategy]]&lt;&gt;"",(SUMIFS(tbAllTrades[ROI ($) + Dividend],tbAllTrades[Exit Date],"="&amp; tbAllTrades[[#This Row],[Exit Date]],tbAllTrades[Stock],tbAllTrades[[#This Row],[Stock]],tbAllTrades[Strategy],tbAllTrades[[#This Row],[Strategy]])),(SUMIFS(tbAllTrades[ROI ($) + Dividend],tbAllTrades[Exit Date],"="&amp; tbAllTrades[[#This Row],[Exit Date]],tbAllTrades[Stock],tbAllTrades[[#This Row],[Stock]])))</f>
        <v>0</v>
      </c>
      <c r="AB16" s="172">
        <f>SUMIFS(tbAllTrades[ROI ($) + Dividend],tbAllTrades[Exit Date],"="&amp; tbAllTrades[[#This Row],[Exit Date]],tbAllTrades[Stock],tbAllTrades[[#This Row],[Stock]])</f>
        <v>0</v>
      </c>
      <c r="AC16" s="173" t="str">
        <f>IF(tbAllTrades[[#This Row],[Exit Price]]="","",(tbAllTrades[[#This Row],[ROI ($) + Dividend]]/tbAllTrades[[#This Row],[Cost Basis]]))</f>
        <v/>
      </c>
      <c r="AD16" s="170">
        <f>IFERROR((tbAllTrades[[#This Row],[Comb ROI ($) + Div by Strat]]/tbAllTrades[[#This Row],[Cost Basis Combined]]),0)</f>
        <v>0</v>
      </c>
      <c r="AE16" s="226">
        <f>tbAllTrades[[#This Row],[Investment In]]+tbAllTrades[[#This Row],[Commission]]</f>
        <v>0</v>
      </c>
      <c r="AF16" s="226">
        <f>IF(tbAllTrades[[#This Row],[Strategy]]&lt;&gt;"",
SUMIFS(tbAllTrades[Cost Basis],tbAllTrades[Exit Date],"="&amp; tbAllTrades[[#This Row],[Exit Date]],tbAllTrades[Stock],tbAllTrades[[#This Row],[Stock]],tbAllTrades[Strategy],tbAllTrades[[#This Row],[Strategy]]),
SUMIFS(tbAllTrades[Cost Basis],tbAllTrades[Exit Date],"="&amp; tbAllTrades[[#This Row],[Exit Date]],tbAllTrades[Stock],tbAllTrades[[#This Row],[Stock]]))</f>
        <v>0</v>
      </c>
      <c r="AG16" s="226" t="str">
        <f>IFERROR(tbAllTrades[[#This Row],[Cost Basis Combined]]/(_xlfn.XLOOKUP(tbAllTrades[[#This Row],[Cur]],tbExchangeRate[Currency],tbExchangeRate[Exchange Rate],,0,1)),"No Cur")</f>
        <v>No Cur</v>
      </c>
      <c r="AH16" s="170" t="str">
        <f>IFERROR(IF(tbAllTrades[[#This Row],[Exit Price]]="","",(tbAllTrades[[#This Row],[ROI (%) + Dividend]]*(365/tbAllTrades[[#This Row],[Days]]))),0)</f>
        <v/>
      </c>
      <c r="AI16" s="174">
        <f ca="1">IF(tbAllTrades[[#This Row],[Exit Date]]&lt;&gt;"",tbAllTrades[[#This Row],[Exit Date]]-tbAllTrades[[#This Row],[Entry Date]],IF(TodaysDate-tbAllTrades[[#This Row],[Entry Date]]&gt;40000,0,TodaysDate-tbAllTrades[[#This Row],[Entry Date]]))</f>
        <v>0</v>
      </c>
      <c r="AJ16" s="14"/>
      <c r="AK16" s="175"/>
    </row>
    <row r="17" spans="1:37">
      <c r="A17" s="6"/>
      <c r="B17" s="161"/>
      <c r="C17" s="161"/>
      <c r="D17" s="5"/>
      <c r="E17" s="5"/>
      <c r="F17" s="5"/>
      <c r="G17" s="161"/>
      <c r="H17" s="49"/>
      <c r="I17" s="50"/>
      <c r="J17" s="129"/>
      <c r="K17" s="169">
        <f>tbAllTrades[[#This Row],[Entry Price]]*tbAllTrades[[#This Row],[No. of Shares]]</f>
        <v>0</v>
      </c>
      <c r="L17" s="52"/>
      <c r="M17" s="170">
        <f>IF(tbAllTrades[[#This Row],[Strategy]]&lt;&gt;"",
SUMIFS(tbAllTrades[Position Size],tbAllTrades[Exit Date],"="&amp; tbAllTrades[[#This Row],[Exit Date]],tbAllTrades[Stock],tbAllTrades[[#This Row],[Stock]],tbAllTrades[Strategy],tbAllTrades[[#This Row],[Strategy]]),
SUMIFS(tbAllTrades[Position Size],tbAllTrades[Exit Date],"="&amp; tbAllTrades[[#This Row],[Exit Date]],tbAllTrades[Stock],tbAllTrades[[#This Row],[Stock]]))</f>
        <v>0</v>
      </c>
      <c r="N17" s="170" t="str">
        <f>IFERROR(tbAllTrades[[#This Row],[Cost Basis Com in Base Curr]]/Portfolio_Balance,"No Cur")</f>
        <v>No Cur</v>
      </c>
      <c r="O17" s="221"/>
      <c r="P17" s="51"/>
      <c r="Q17" s="169">
        <f>tbAllTrades[[#This Row],[Exit Price]]*tbAllTrades[[#This Row],[No. of Shares]]</f>
        <v>0</v>
      </c>
      <c r="R17" s="116"/>
      <c r="S17" s="50"/>
      <c r="T17" s="171" t="str">
        <f>IF(tbAllTrades[[#This Row],[Exit Price]]="","",IF(tbAllTrades[[#This Row],[Short Sold]]&lt;&gt;"",tbAllTrades[[#This Row],[Cost Basis]]-tbAllTrades[[#This Row],[Investment Out]],tbAllTrades[[#This Row],[Investment Out]]-tbAllTrades[[#This Row],[Cost Basis]]))</f>
        <v/>
      </c>
      <c r="U17" s="171">
        <f>IF(tbAllTrades[[#This Row],[Strategy]]&lt;&gt;"",
(SUMIFS(tbAllTrades[ROI ($)],tbAllTrades[Exit Date],"="&amp; tbAllTrades[[#This Row],[Exit Date]],tbAllTrades[Stock],tbAllTrades[[#This Row],[Stock]],tbAllTrades[Strategy],tbAllTrades[[#This Row],[Strategy]])),
(SUMIFS(tbAllTrades[ROI ($)],tbAllTrades[Exit Date],"="&amp; tbAllTrades[[#This Row],[Exit Date]],tbAllTrades[Stock],tbAllTrades[[#This Row],[Stock]])))</f>
        <v>0</v>
      </c>
      <c r="V17" s="170" t="str">
        <f>IF(tbAllTrades[[#This Row],[Exit Price]]="","",(tbAllTrades[[#This Row],[ROI ($)]]/tbAllTrades[[#This Row],[Cost Basis]]))</f>
        <v/>
      </c>
      <c r="W17" s="170">
        <f>IFERROR((tbAllTrades[[#This Row],[Combined ROI ($)]]/tbAllTrades[[#This Row],[Cost Basis Combined]]),0)</f>
        <v>0</v>
      </c>
      <c r="X17" s="51"/>
      <c r="Y17" s="271">
        <f>tbAllTrades[[#This Row],[Dividends (cents)]]*tbAllTrades[[#This Row],[No. of Shares]]</f>
        <v>0</v>
      </c>
      <c r="Z17" s="172" t="str">
        <f>IF(tbAllTrades[[#This Row],[Exit Price]]="","",IF(tbAllTrades[[#This Row],[Short Sold]]&lt;&gt;"",tbAllTrades[[#This Row],[Investment In]]-tbAllTrades[[#This Row],[Investment Out]]-tbAllTrades[[#This Row],[Dividend Total]]-tbAllTrades[[#This Row],[Commission]],tbAllTrades[[#This Row],[Investment Out]]-tbAllTrades[[#This Row],[Investment In]]+tbAllTrades[[#This Row],[Dividend Total]]-tbAllTrades[[#This Row],[Commission]]))</f>
        <v/>
      </c>
      <c r="AA17" s="172">
        <f>IF(tbAllTrades[[#This Row],[Strategy]]&lt;&gt;"",(SUMIFS(tbAllTrades[ROI ($) + Dividend],tbAllTrades[Exit Date],"="&amp; tbAllTrades[[#This Row],[Exit Date]],tbAllTrades[Stock],tbAllTrades[[#This Row],[Stock]],tbAllTrades[Strategy],tbAllTrades[[#This Row],[Strategy]])),(SUMIFS(tbAllTrades[ROI ($) + Dividend],tbAllTrades[Exit Date],"="&amp; tbAllTrades[[#This Row],[Exit Date]],tbAllTrades[Stock],tbAllTrades[[#This Row],[Stock]])))</f>
        <v>0</v>
      </c>
      <c r="AB17" s="172">
        <f>SUMIFS(tbAllTrades[ROI ($) + Dividend],tbAllTrades[Exit Date],"="&amp; tbAllTrades[[#This Row],[Exit Date]],tbAllTrades[Stock],tbAllTrades[[#This Row],[Stock]])</f>
        <v>0</v>
      </c>
      <c r="AC17" s="173" t="str">
        <f>IF(tbAllTrades[[#This Row],[Exit Price]]="","",(tbAllTrades[[#This Row],[ROI ($) + Dividend]]/tbAllTrades[[#This Row],[Cost Basis]]))</f>
        <v/>
      </c>
      <c r="AD17" s="170">
        <f>IFERROR((tbAllTrades[[#This Row],[Comb ROI ($) + Div by Strat]]/tbAllTrades[[#This Row],[Cost Basis Combined]]),0)</f>
        <v>0</v>
      </c>
      <c r="AE17" s="226">
        <f>tbAllTrades[[#This Row],[Investment In]]+tbAllTrades[[#This Row],[Commission]]</f>
        <v>0</v>
      </c>
      <c r="AF17" s="226">
        <f>IF(tbAllTrades[[#This Row],[Strategy]]&lt;&gt;"",
SUMIFS(tbAllTrades[Cost Basis],tbAllTrades[Exit Date],"="&amp; tbAllTrades[[#This Row],[Exit Date]],tbAllTrades[Stock],tbAllTrades[[#This Row],[Stock]],tbAllTrades[Strategy],tbAllTrades[[#This Row],[Strategy]]),
SUMIFS(tbAllTrades[Cost Basis],tbAllTrades[Exit Date],"="&amp; tbAllTrades[[#This Row],[Exit Date]],tbAllTrades[Stock],tbAllTrades[[#This Row],[Stock]]))</f>
        <v>0</v>
      </c>
      <c r="AG17" s="226" t="str">
        <f>IFERROR(tbAllTrades[[#This Row],[Cost Basis Combined]]/(_xlfn.XLOOKUP(tbAllTrades[[#This Row],[Cur]],tbExchangeRate[Currency],tbExchangeRate[Exchange Rate],,0,1)),"No Cur")</f>
        <v>No Cur</v>
      </c>
      <c r="AH17" s="170" t="str">
        <f>IFERROR(IF(tbAllTrades[[#This Row],[Exit Price]]="","",(tbAllTrades[[#This Row],[ROI (%) + Dividend]]*(365/tbAllTrades[[#This Row],[Days]]))),0)</f>
        <v/>
      </c>
      <c r="AI17" s="174">
        <f ca="1">IF(tbAllTrades[[#This Row],[Exit Date]]&lt;&gt;"",tbAllTrades[[#This Row],[Exit Date]]-tbAllTrades[[#This Row],[Entry Date]],IF(TodaysDate-tbAllTrades[[#This Row],[Entry Date]]&gt;40000,0,TodaysDate-tbAllTrades[[#This Row],[Entry Date]]))</f>
        <v>0</v>
      </c>
      <c r="AJ17" s="14"/>
      <c r="AK17" s="175"/>
    </row>
    <row r="18" spans="1:37">
      <c r="A18" s="6"/>
      <c r="B18" s="161"/>
      <c r="C18" s="161"/>
      <c r="D18" s="5"/>
      <c r="E18" s="5"/>
      <c r="F18" s="5"/>
      <c r="G18" s="161"/>
      <c r="H18" s="49"/>
      <c r="I18" s="50"/>
      <c r="J18" s="129"/>
      <c r="K18" s="169">
        <f>tbAllTrades[[#This Row],[Entry Price]]*tbAllTrades[[#This Row],[No. of Shares]]</f>
        <v>0</v>
      </c>
      <c r="L18" s="52"/>
      <c r="M18" s="170">
        <f>IF(tbAllTrades[[#This Row],[Strategy]]&lt;&gt;"",
SUMIFS(tbAllTrades[Position Size],tbAllTrades[Exit Date],"="&amp; tbAllTrades[[#This Row],[Exit Date]],tbAllTrades[Stock],tbAllTrades[[#This Row],[Stock]],tbAllTrades[Strategy],tbAllTrades[[#This Row],[Strategy]]),
SUMIFS(tbAllTrades[Position Size],tbAllTrades[Exit Date],"="&amp; tbAllTrades[[#This Row],[Exit Date]],tbAllTrades[Stock],tbAllTrades[[#This Row],[Stock]]))</f>
        <v>0</v>
      </c>
      <c r="N18" s="170" t="str">
        <f>IFERROR(tbAllTrades[[#This Row],[Cost Basis Com in Base Curr]]/Portfolio_Balance,"No Cur")</f>
        <v>No Cur</v>
      </c>
      <c r="O18" s="221"/>
      <c r="P18" s="51"/>
      <c r="Q18" s="169">
        <f>tbAllTrades[[#This Row],[Exit Price]]*tbAllTrades[[#This Row],[No. of Shares]]</f>
        <v>0</v>
      </c>
      <c r="R18" s="116"/>
      <c r="S18" s="50"/>
      <c r="T18" s="171" t="str">
        <f>IF(tbAllTrades[[#This Row],[Exit Price]]="","",IF(tbAllTrades[[#This Row],[Short Sold]]&lt;&gt;"",tbAllTrades[[#This Row],[Cost Basis]]-tbAllTrades[[#This Row],[Investment Out]],tbAllTrades[[#This Row],[Investment Out]]-tbAllTrades[[#This Row],[Cost Basis]]))</f>
        <v/>
      </c>
      <c r="U18" s="171">
        <f>IF(tbAllTrades[[#This Row],[Strategy]]&lt;&gt;"",
(SUMIFS(tbAllTrades[ROI ($)],tbAllTrades[Exit Date],"="&amp; tbAllTrades[[#This Row],[Exit Date]],tbAllTrades[Stock],tbAllTrades[[#This Row],[Stock]],tbAllTrades[Strategy],tbAllTrades[[#This Row],[Strategy]])),
(SUMIFS(tbAllTrades[ROI ($)],tbAllTrades[Exit Date],"="&amp; tbAllTrades[[#This Row],[Exit Date]],tbAllTrades[Stock],tbAllTrades[[#This Row],[Stock]])))</f>
        <v>0</v>
      </c>
      <c r="V18" s="170" t="str">
        <f>IF(tbAllTrades[[#This Row],[Exit Price]]="","",(tbAllTrades[[#This Row],[ROI ($)]]/tbAllTrades[[#This Row],[Cost Basis]]))</f>
        <v/>
      </c>
      <c r="W18" s="170">
        <f>IFERROR((tbAllTrades[[#This Row],[Combined ROI ($)]]/tbAllTrades[[#This Row],[Cost Basis Combined]]),0)</f>
        <v>0</v>
      </c>
      <c r="X18" s="51"/>
      <c r="Y18" s="271">
        <f>tbAllTrades[[#This Row],[Dividends (cents)]]*tbAllTrades[[#This Row],[No. of Shares]]</f>
        <v>0</v>
      </c>
      <c r="Z18" s="172" t="str">
        <f>IF(tbAllTrades[[#This Row],[Exit Price]]="","",IF(tbAllTrades[[#This Row],[Short Sold]]&lt;&gt;"",tbAllTrades[[#This Row],[Investment In]]-tbAllTrades[[#This Row],[Investment Out]]-tbAllTrades[[#This Row],[Dividend Total]]-tbAllTrades[[#This Row],[Commission]],tbAllTrades[[#This Row],[Investment Out]]-tbAllTrades[[#This Row],[Investment In]]+tbAllTrades[[#This Row],[Dividend Total]]-tbAllTrades[[#This Row],[Commission]]))</f>
        <v/>
      </c>
      <c r="AA18" s="172">
        <f>IF(tbAllTrades[[#This Row],[Strategy]]&lt;&gt;"",(SUMIFS(tbAllTrades[ROI ($) + Dividend],tbAllTrades[Exit Date],"="&amp; tbAllTrades[[#This Row],[Exit Date]],tbAllTrades[Stock],tbAllTrades[[#This Row],[Stock]],tbAllTrades[Strategy],tbAllTrades[[#This Row],[Strategy]])),(SUMIFS(tbAllTrades[ROI ($) + Dividend],tbAllTrades[Exit Date],"="&amp; tbAllTrades[[#This Row],[Exit Date]],tbAllTrades[Stock],tbAllTrades[[#This Row],[Stock]])))</f>
        <v>0</v>
      </c>
      <c r="AB18" s="172">
        <f>SUMIFS(tbAllTrades[ROI ($) + Dividend],tbAllTrades[Exit Date],"="&amp; tbAllTrades[[#This Row],[Exit Date]],tbAllTrades[Stock],tbAllTrades[[#This Row],[Stock]])</f>
        <v>0</v>
      </c>
      <c r="AC18" s="173" t="str">
        <f>IF(tbAllTrades[[#This Row],[Exit Price]]="","",(tbAllTrades[[#This Row],[ROI ($) + Dividend]]/tbAllTrades[[#This Row],[Cost Basis]]))</f>
        <v/>
      </c>
      <c r="AD18" s="170">
        <f>IFERROR((tbAllTrades[[#This Row],[Comb ROI ($) + Div by Strat]]/tbAllTrades[[#This Row],[Cost Basis Combined]]),0)</f>
        <v>0</v>
      </c>
      <c r="AE18" s="226">
        <f>tbAllTrades[[#This Row],[Investment In]]+tbAllTrades[[#This Row],[Commission]]</f>
        <v>0</v>
      </c>
      <c r="AF18" s="226">
        <f>IF(tbAllTrades[[#This Row],[Strategy]]&lt;&gt;"",
SUMIFS(tbAllTrades[Cost Basis],tbAllTrades[Exit Date],"="&amp; tbAllTrades[[#This Row],[Exit Date]],tbAllTrades[Stock],tbAllTrades[[#This Row],[Stock]],tbAllTrades[Strategy],tbAllTrades[[#This Row],[Strategy]]),
SUMIFS(tbAllTrades[Cost Basis],tbAllTrades[Exit Date],"="&amp; tbAllTrades[[#This Row],[Exit Date]],tbAllTrades[Stock],tbAllTrades[[#This Row],[Stock]]))</f>
        <v>0</v>
      </c>
      <c r="AG18" s="226" t="str">
        <f>IFERROR(tbAllTrades[[#This Row],[Cost Basis Combined]]/(_xlfn.XLOOKUP(tbAllTrades[[#This Row],[Cur]],tbExchangeRate[Currency],tbExchangeRate[Exchange Rate],,0,1)),"No Cur")</f>
        <v>No Cur</v>
      </c>
      <c r="AH18" s="170" t="str">
        <f>IFERROR(IF(tbAllTrades[[#This Row],[Exit Price]]="","",(tbAllTrades[[#This Row],[ROI (%) + Dividend]]*(365/tbAllTrades[[#This Row],[Days]]))),0)</f>
        <v/>
      </c>
      <c r="AI18" s="174">
        <f ca="1">IF(tbAllTrades[[#This Row],[Exit Date]]&lt;&gt;"",tbAllTrades[[#This Row],[Exit Date]]-tbAllTrades[[#This Row],[Entry Date]],IF(TodaysDate-tbAllTrades[[#This Row],[Entry Date]]&gt;40000,0,TodaysDate-tbAllTrades[[#This Row],[Entry Date]]))</f>
        <v>0</v>
      </c>
      <c r="AJ18" s="14"/>
      <c r="AK18" s="175"/>
    </row>
    <row r="19" spans="1:37">
      <c r="A19" s="6"/>
      <c r="B19" s="161"/>
      <c r="C19" s="161"/>
      <c r="D19" s="5"/>
      <c r="E19" s="5"/>
      <c r="F19" s="5"/>
      <c r="G19" s="161"/>
      <c r="H19" s="49"/>
      <c r="I19" s="50"/>
      <c r="J19" s="129"/>
      <c r="K19" s="169">
        <f>tbAllTrades[[#This Row],[Entry Price]]*tbAllTrades[[#This Row],[No. of Shares]]</f>
        <v>0</v>
      </c>
      <c r="L19" s="52"/>
      <c r="M19" s="170">
        <f>IF(tbAllTrades[[#This Row],[Strategy]]&lt;&gt;"",
SUMIFS(tbAllTrades[Position Size],tbAllTrades[Exit Date],"="&amp; tbAllTrades[[#This Row],[Exit Date]],tbAllTrades[Stock],tbAllTrades[[#This Row],[Stock]],tbAllTrades[Strategy],tbAllTrades[[#This Row],[Strategy]]),
SUMIFS(tbAllTrades[Position Size],tbAllTrades[Exit Date],"="&amp; tbAllTrades[[#This Row],[Exit Date]],tbAllTrades[Stock],tbAllTrades[[#This Row],[Stock]]))</f>
        <v>0</v>
      </c>
      <c r="N19" s="170" t="str">
        <f>IFERROR(tbAllTrades[[#This Row],[Cost Basis Com in Base Curr]]/Portfolio_Balance,"No Cur")</f>
        <v>No Cur</v>
      </c>
      <c r="O19" s="221"/>
      <c r="P19" s="51"/>
      <c r="Q19" s="169">
        <f>tbAllTrades[[#This Row],[Exit Price]]*tbAllTrades[[#This Row],[No. of Shares]]</f>
        <v>0</v>
      </c>
      <c r="R19" s="116"/>
      <c r="S19" s="50"/>
      <c r="T19" s="171" t="str">
        <f>IF(tbAllTrades[[#This Row],[Exit Price]]="","",IF(tbAllTrades[[#This Row],[Short Sold]]&lt;&gt;"",tbAllTrades[[#This Row],[Cost Basis]]-tbAllTrades[[#This Row],[Investment Out]],tbAllTrades[[#This Row],[Investment Out]]-tbAllTrades[[#This Row],[Cost Basis]]))</f>
        <v/>
      </c>
      <c r="U19" s="171">
        <f>IF(tbAllTrades[[#This Row],[Strategy]]&lt;&gt;"",
(SUMIFS(tbAllTrades[ROI ($)],tbAllTrades[Exit Date],"="&amp; tbAllTrades[[#This Row],[Exit Date]],tbAllTrades[Stock],tbAllTrades[[#This Row],[Stock]],tbAllTrades[Strategy],tbAllTrades[[#This Row],[Strategy]])),
(SUMIFS(tbAllTrades[ROI ($)],tbAllTrades[Exit Date],"="&amp; tbAllTrades[[#This Row],[Exit Date]],tbAllTrades[Stock],tbAllTrades[[#This Row],[Stock]])))</f>
        <v>0</v>
      </c>
      <c r="V19" s="170" t="str">
        <f>IF(tbAllTrades[[#This Row],[Exit Price]]="","",(tbAllTrades[[#This Row],[ROI ($)]]/tbAllTrades[[#This Row],[Cost Basis]]))</f>
        <v/>
      </c>
      <c r="W19" s="170">
        <f>IFERROR((tbAllTrades[[#This Row],[Combined ROI ($)]]/tbAllTrades[[#This Row],[Cost Basis Combined]]),0)</f>
        <v>0</v>
      </c>
      <c r="X19" s="51"/>
      <c r="Y19" s="271">
        <f>tbAllTrades[[#This Row],[Dividends (cents)]]*tbAllTrades[[#This Row],[No. of Shares]]</f>
        <v>0</v>
      </c>
      <c r="Z19" s="172" t="str">
        <f>IF(tbAllTrades[[#This Row],[Exit Price]]="","",IF(tbAllTrades[[#This Row],[Short Sold]]&lt;&gt;"",tbAllTrades[[#This Row],[Investment In]]-tbAllTrades[[#This Row],[Investment Out]]-tbAllTrades[[#This Row],[Dividend Total]]-tbAllTrades[[#This Row],[Commission]],tbAllTrades[[#This Row],[Investment Out]]-tbAllTrades[[#This Row],[Investment In]]+tbAllTrades[[#This Row],[Dividend Total]]-tbAllTrades[[#This Row],[Commission]]))</f>
        <v/>
      </c>
      <c r="AA19" s="172">
        <f>IF(tbAllTrades[[#This Row],[Strategy]]&lt;&gt;"",(SUMIFS(tbAllTrades[ROI ($) + Dividend],tbAllTrades[Exit Date],"="&amp; tbAllTrades[[#This Row],[Exit Date]],tbAllTrades[Stock],tbAllTrades[[#This Row],[Stock]],tbAllTrades[Strategy],tbAllTrades[[#This Row],[Strategy]])),(SUMIFS(tbAllTrades[ROI ($) + Dividend],tbAllTrades[Exit Date],"="&amp; tbAllTrades[[#This Row],[Exit Date]],tbAllTrades[Stock],tbAllTrades[[#This Row],[Stock]])))</f>
        <v>0</v>
      </c>
      <c r="AB19" s="172">
        <f>SUMIFS(tbAllTrades[ROI ($) + Dividend],tbAllTrades[Exit Date],"="&amp; tbAllTrades[[#This Row],[Exit Date]],tbAllTrades[Stock],tbAllTrades[[#This Row],[Stock]])</f>
        <v>0</v>
      </c>
      <c r="AC19" s="173" t="str">
        <f>IF(tbAllTrades[[#This Row],[Exit Price]]="","",(tbAllTrades[[#This Row],[ROI ($) + Dividend]]/tbAllTrades[[#This Row],[Cost Basis]]))</f>
        <v/>
      </c>
      <c r="AD19" s="170">
        <f>IFERROR((tbAllTrades[[#This Row],[Comb ROI ($) + Div by Strat]]/tbAllTrades[[#This Row],[Cost Basis Combined]]),0)</f>
        <v>0</v>
      </c>
      <c r="AE19" s="226">
        <f>tbAllTrades[[#This Row],[Investment In]]+tbAllTrades[[#This Row],[Commission]]</f>
        <v>0</v>
      </c>
      <c r="AF19" s="226">
        <f>IF(tbAllTrades[[#This Row],[Strategy]]&lt;&gt;"",
SUMIFS(tbAllTrades[Cost Basis],tbAllTrades[Exit Date],"="&amp; tbAllTrades[[#This Row],[Exit Date]],tbAllTrades[Stock],tbAllTrades[[#This Row],[Stock]],tbAllTrades[Strategy],tbAllTrades[[#This Row],[Strategy]]),
SUMIFS(tbAllTrades[Cost Basis],tbAllTrades[Exit Date],"="&amp; tbAllTrades[[#This Row],[Exit Date]],tbAllTrades[Stock],tbAllTrades[[#This Row],[Stock]]))</f>
        <v>0</v>
      </c>
      <c r="AG19" s="226" t="str">
        <f>IFERROR(tbAllTrades[[#This Row],[Cost Basis Combined]]/(_xlfn.XLOOKUP(tbAllTrades[[#This Row],[Cur]],tbExchangeRate[Currency],tbExchangeRate[Exchange Rate],,0,1)),"No Cur")</f>
        <v>No Cur</v>
      </c>
      <c r="AH19" s="170" t="str">
        <f>IFERROR(IF(tbAllTrades[[#This Row],[Exit Price]]="","",(tbAllTrades[[#This Row],[ROI (%) + Dividend]]*(365/tbAllTrades[[#This Row],[Days]]))),0)</f>
        <v/>
      </c>
      <c r="AI19" s="174">
        <f ca="1">IF(tbAllTrades[[#This Row],[Exit Date]]&lt;&gt;"",tbAllTrades[[#This Row],[Exit Date]]-tbAllTrades[[#This Row],[Entry Date]],IF(TodaysDate-tbAllTrades[[#This Row],[Entry Date]]&gt;40000,0,TodaysDate-tbAllTrades[[#This Row],[Entry Date]]))</f>
        <v>0</v>
      </c>
      <c r="AJ19" s="14"/>
      <c r="AK19" s="175"/>
    </row>
    <row r="20" spans="1:37">
      <c r="A20" s="6"/>
      <c r="B20" s="161"/>
      <c r="C20" s="161"/>
      <c r="D20" s="5"/>
      <c r="E20" s="5"/>
      <c r="F20" s="5"/>
      <c r="G20" s="161"/>
      <c r="H20" s="49"/>
      <c r="I20" s="50"/>
      <c r="J20" s="129"/>
      <c r="K20" s="169">
        <f>tbAllTrades[[#This Row],[Entry Price]]*tbAllTrades[[#This Row],[No. of Shares]]</f>
        <v>0</v>
      </c>
      <c r="L20" s="52"/>
      <c r="M20" s="170">
        <f>IF(tbAllTrades[[#This Row],[Strategy]]&lt;&gt;"",
SUMIFS(tbAllTrades[Position Size],tbAllTrades[Exit Date],"="&amp; tbAllTrades[[#This Row],[Exit Date]],tbAllTrades[Stock],tbAllTrades[[#This Row],[Stock]],tbAllTrades[Strategy],tbAllTrades[[#This Row],[Strategy]]),
SUMIFS(tbAllTrades[Position Size],tbAllTrades[Exit Date],"="&amp; tbAllTrades[[#This Row],[Exit Date]],tbAllTrades[Stock],tbAllTrades[[#This Row],[Stock]]))</f>
        <v>0</v>
      </c>
      <c r="N20" s="170" t="str">
        <f>IFERROR(tbAllTrades[[#This Row],[Cost Basis Com in Base Curr]]/Portfolio_Balance,"No Cur")</f>
        <v>No Cur</v>
      </c>
      <c r="O20" s="221"/>
      <c r="P20" s="51"/>
      <c r="Q20" s="169">
        <f>tbAllTrades[[#This Row],[Exit Price]]*tbAllTrades[[#This Row],[No. of Shares]]</f>
        <v>0</v>
      </c>
      <c r="R20" s="116"/>
      <c r="S20" s="50"/>
      <c r="T20" s="171" t="str">
        <f>IF(tbAllTrades[[#This Row],[Exit Price]]="","",IF(tbAllTrades[[#This Row],[Short Sold]]&lt;&gt;"",tbAllTrades[[#This Row],[Cost Basis]]-tbAllTrades[[#This Row],[Investment Out]],tbAllTrades[[#This Row],[Investment Out]]-tbAllTrades[[#This Row],[Cost Basis]]))</f>
        <v/>
      </c>
      <c r="U20" s="171">
        <f>IF(tbAllTrades[[#This Row],[Strategy]]&lt;&gt;"",
(SUMIFS(tbAllTrades[ROI ($)],tbAllTrades[Exit Date],"="&amp; tbAllTrades[[#This Row],[Exit Date]],tbAllTrades[Stock],tbAllTrades[[#This Row],[Stock]],tbAllTrades[Strategy],tbAllTrades[[#This Row],[Strategy]])),
(SUMIFS(tbAllTrades[ROI ($)],tbAllTrades[Exit Date],"="&amp; tbAllTrades[[#This Row],[Exit Date]],tbAllTrades[Stock],tbAllTrades[[#This Row],[Stock]])))</f>
        <v>0</v>
      </c>
      <c r="V20" s="170" t="str">
        <f>IF(tbAllTrades[[#This Row],[Exit Price]]="","",(tbAllTrades[[#This Row],[ROI ($)]]/tbAllTrades[[#This Row],[Cost Basis]]))</f>
        <v/>
      </c>
      <c r="W20" s="170">
        <f>IFERROR((tbAllTrades[[#This Row],[Combined ROI ($)]]/tbAllTrades[[#This Row],[Cost Basis Combined]]),0)</f>
        <v>0</v>
      </c>
      <c r="X20" s="51"/>
      <c r="Y20" s="271">
        <f>tbAllTrades[[#This Row],[Dividends (cents)]]*tbAllTrades[[#This Row],[No. of Shares]]</f>
        <v>0</v>
      </c>
      <c r="Z20" s="172" t="str">
        <f>IF(tbAllTrades[[#This Row],[Exit Price]]="","",IF(tbAllTrades[[#This Row],[Short Sold]]&lt;&gt;"",tbAllTrades[[#This Row],[Investment In]]-tbAllTrades[[#This Row],[Investment Out]]-tbAllTrades[[#This Row],[Dividend Total]]-tbAllTrades[[#This Row],[Commission]],tbAllTrades[[#This Row],[Investment Out]]-tbAllTrades[[#This Row],[Investment In]]+tbAllTrades[[#This Row],[Dividend Total]]-tbAllTrades[[#This Row],[Commission]]))</f>
        <v/>
      </c>
      <c r="AA20" s="172">
        <f>IF(tbAllTrades[[#This Row],[Strategy]]&lt;&gt;"",(SUMIFS(tbAllTrades[ROI ($) + Dividend],tbAllTrades[Exit Date],"="&amp; tbAllTrades[[#This Row],[Exit Date]],tbAllTrades[Stock],tbAllTrades[[#This Row],[Stock]],tbAllTrades[Strategy],tbAllTrades[[#This Row],[Strategy]])),(SUMIFS(tbAllTrades[ROI ($) + Dividend],tbAllTrades[Exit Date],"="&amp; tbAllTrades[[#This Row],[Exit Date]],tbAllTrades[Stock],tbAllTrades[[#This Row],[Stock]])))</f>
        <v>0</v>
      </c>
      <c r="AB20" s="172">
        <f>SUMIFS(tbAllTrades[ROI ($) + Dividend],tbAllTrades[Exit Date],"="&amp; tbAllTrades[[#This Row],[Exit Date]],tbAllTrades[Stock],tbAllTrades[[#This Row],[Stock]])</f>
        <v>0</v>
      </c>
      <c r="AC20" s="173" t="str">
        <f>IF(tbAllTrades[[#This Row],[Exit Price]]="","",(tbAllTrades[[#This Row],[ROI ($) + Dividend]]/tbAllTrades[[#This Row],[Cost Basis]]))</f>
        <v/>
      </c>
      <c r="AD20" s="170">
        <f>IFERROR((tbAllTrades[[#This Row],[Comb ROI ($) + Div by Strat]]/tbAllTrades[[#This Row],[Cost Basis Combined]]),0)</f>
        <v>0</v>
      </c>
      <c r="AE20" s="226">
        <f>tbAllTrades[[#This Row],[Investment In]]+tbAllTrades[[#This Row],[Commission]]</f>
        <v>0</v>
      </c>
      <c r="AF20" s="226">
        <f>IF(tbAllTrades[[#This Row],[Strategy]]&lt;&gt;"",
SUMIFS(tbAllTrades[Cost Basis],tbAllTrades[Exit Date],"="&amp; tbAllTrades[[#This Row],[Exit Date]],tbAllTrades[Stock],tbAllTrades[[#This Row],[Stock]],tbAllTrades[Strategy],tbAllTrades[[#This Row],[Strategy]]),
SUMIFS(tbAllTrades[Cost Basis],tbAllTrades[Exit Date],"="&amp; tbAllTrades[[#This Row],[Exit Date]],tbAllTrades[Stock],tbAllTrades[[#This Row],[Stock]]))</f>
        <v>0</v>
      </c>
      <c r="AG20" s="226" t="str">
        <f>IFERROR(tbAllTrades[[#This Row],[Cost Basis Combined]]/(_xlfn.XLOOKUP(tbAllTrades[[#This Row],[Cur]],tbExchangeRate[Currency],tbExchangeRate[Exchange Rate],,0,1)),"No Cur")</f>
        <v>No Cur</v>
      </c>
      <c r="AH20" s="170" t="str">
        <f>IFERROR(IF(tbAllTrades[[#This Row],[Exit Price]]="","",(tbAllTrades[[#This Row],[ROI (%) + Dividend]]*(365/tbAllTrades[[#This Row],[Days]]))),0)</f>
        <v/>
      </c>
      <c r="AI20" s="174">
        <f ca="1">IF(tbAllTrades[[#This Row],[Exit Date]]&lt;&gt;"",tbAllTrades[[#This Row],[Exit Date]]-tbAllTrades[[#This Row],[Entry Date]],IF(TodaysDate-tbAllTrades[[#This Row],[Entry Date]]&gt;40000,0,TodaysDate-tbAllTrades[[#This Row],[Entry Date]]))</f>
        <v>0</v>
      </c>
      <c r="AJ20" s="14"/>
      <c r="AK20" s="175"/>
    </row>
    <row r="21" spans="1:37">
      <c r="A21" s="6"/>
      <c r="B21" s="161"/>
      <c r="C21" s="161"/>
      <c r="D21" s="5"/>
      <c r="E21" s="5"/>
      <c r="F21" s="5"/>
      <c r="G21" s="161"/>
      <c r="H21" s="49"/>
      <c r="I21" s="50"/>
      <c r="J21" s="129"/>
      <c r="K21" s="169">
        <f>tbAllTrades[[#This Row],[Entry Price]]*tbAllTrades[[#This Row],[No. of Shares]]</f>
        <v>0</v>
      </c>
      <c r="L21" s="52"/>
      <c r="M21" s="170">
        <f>IF(tbAllTrades[[#This Row],[Strategy]]&lt;&gt;"",
SUMIFS(tbAllTrades[Position Size],tbAllTrades[Exit Date],"="&amp; tbAllTrades[[#This Row],[Exit Date]],tbAllTrades[Stock],tbAllTrades[[#This Row],[Stock]],tbAllTrades[Strategy],tbAllTrades[[#This Row],[Strategy]]),
SUMIFS(tbAllTrades[Position Size],tbAllTrades[Exit Date],"="&amp; tbAllTrades[[#This Row],[Exit Date]],tbAllTrades[Stock],tbAllTrades[[#This Row],[Stock]]))</f>
        <v>0</v>
      </c>
      <c r="N21" s="170" t="str">
        <f>IFERROR(tbAllTrades[[#This Row],[Cost Basis Com in Base Curr]]/Portfolio_Balance,"No Cur")</f>
        <v>No Cur</v>
      </c>
      <c r="O21" s="221"/>
      <c r="P21" s="51"/>
      <c r="Q21" s="169">
        <f>tbAllTrades[[#This Row],[Exit Price]]*tbAllTrades[[#This Row],[No. of Shares]]</f>
        <v>0</v>
      </c>
      <c r="R21" s="116"/>
      <c r="S21" s="50"/>
      <c r="T21" s="171" t="str">
        <f>IF(tbAllTrades[[#This Row],[Exit Price]]="","",IF(tbAllTrades[[#This Row],[Short Sold]]&lt;&gt;"",tbAllTrades[[#This Row],[Cost Basis]]-tbAllTrades[[#This Row],[Investment Out]],tbAllTrades[[#This Row],[Investment Out]]-tbAllTrades[[#This Row],[Cost Basis]]))</f>
        <v/>
      </c>
      <c r="U21" s="171">
        <f>IF(tbAllTrades[[#This Row],[Strategy]]&lt;&gt;"",
(SUMIFS(tbAllTrades[ROI ($)],tbAllTrades[Exit Date],"="&amp; tbAllTrades[[#This Row],[Exit Date]],tbAllTrades[Stock],tbAllTrades[[#This Row],[Stock]],tbAllTrades[Strategy],tbAllTrades[[#This Row],[Strategy]])),
(SUMIFS(tbAllTrades[ROI ($)],tbAllTrades[Exit Date],"="&amp; tbAllTrades[[#This Row],[Exit Date]],tbAllTrades[Stock],tbAllTrades[[#This Row],[Stock]])))</f>
        <v>0</v>
      </c>
      <c r="V21" s="170" t="str">
        <f>IF(tbAllTrades[[#This Row],[Exit Price]]="","",(tbAllTrades[[#This Row],[ROI ($)]]/tbAllTrades[[#This Row],[Cost Basis]]))</f>
        <v/>
      </c>
      <c r="W21" s="170">
        <f>IFERROR((tbAllTrades[[#This Row],[Combined ROI ($)]]/tbAllTrades[[#This Row],[Cost Basis Combined]]),0)</f>
        <v>0</v>
      </c>
      <c r="X21" s="51"/>
      <c r="Y21" s="271">
        <f>tbAllTrades[[#This Row],[Dividends (cents)]]*tbAllTrades[[#This Row],[No. of Shares]]</f>
        <v>0</v>
      </c>
      <c r="Z21" s="172" t="str">
        <f>IF(tbAllTrades[[#This Row],[Exit Price]]="","",IF(tbAllTrades[[#This Row],[Short Sold]]&lt;&gt;"",tbAllTrades[[#This Row],[Investment In]]-tbAllTrades[[#This Row],[Investment Out]]-tbAllTrades[[#This Row],[Dividend Total]]-tbAllTrades[[#This Row],[Commission]],tbAllTrades[[#This Row],[Investment Out]]-tbAllTrades[[#This Row],[Investment In]]+tbAllTrades[[#This Row],[Dividend Total]]-tbAllTrades[[#This Row],[Commission]]))</f>
        <v/>
      </c>
      <c r="AA21" s="172">
        <f>IF(tbAllTrades[[#This Row],[Strategy]]&lt;&gt;"",(SUMIFS(tbAllTrades[ROI ($) + Dividend],tbAllTrades[Exit Date],"="&amp; tbAllTrades[[#This Row],[Exit Date]],tbAllTrades[Stock],tbAllTrades[[#This Row],[Stock]],tbAllTrades[Strategy],tbAllTrades[[#This Row],[Strategy]])),(SUMIFS(tbAllTrades[ROI ($) + Dividend],tbAllTrades[Exit Date],"="&amp; tbAllTrades[[#This Row],[Exit Date]],tbAllTrades[Stock],tbAllTrades[[#This Row],[Stock]])))</f>
        <v>0</v>
      </c>
      <c r="AB21" s="172">
        <f>SUMIFS(tbAllTrades[ROI ($) + Dividend],tbAllTrades[Exit Date],"="&amp; tbAllTrades[[#This Row],[Exit Date]],tbAllTrades[Stock],tbAllTrades[[#This Row],[Stock]])</f>
        <v>0</v>
      </c>
      <c r="AC21" s="173" t="str">
        <f>IF(tbAllTrades[[#This Row],[Exit Price]]="","",(tbAllTrades[[#This Row],[ROI ($) + Dividend]]/tbAllTrades[[#This Row],[Cost Basis]]))</f>
        <v/>
      </c>
      <c r="AD21" s="170">
        <f>IFERROR((tbAllTrades[[#This Row],[Comb ROI ($) + Div by Strat]]/tbAllTrades[[#This Row],[Cost Basis Combined]]),0)</f>
        <v>0</v>
      </c>
      <c r="AE21" s="226">
        <f>tbAllTrades[[#This Row],[Investment In]]+tbAllTrades[[#This Row],[Commission]]</f>
        <v>0</v>
      </c>
      <c r="AF21" s="226">
        <f>IF(tbAllTrades[[#This Row],[Strategy]]&lt;&gt;"",
SUMIFS(tbAllTrades[Cost Basis],tbAllTrades[Exit Date],"="&amp; tbAllTrades[[#This Row],[Exit Date]],tbAllTrades[Stock],tbAllTrades[[#This Row],[Stock]],tbAllTrades[Strategy],tbAllTrades[[#This Row],[Strategy]]),
SUMIFS(tbAllTrades[Cost Basis],tbAllTrades[Exit Date],"="&amp; tbAllTrades[[#This Row],[Exit Date]],tbAllTrades[Stock],tbAllTrades[[#This Row],[Stock]]))</f>
        <v>0</v>
      </c>
      <c r="AG21" s="226" t="str">
        <f>IFERROR(tbAllTrades[[#This Row],[Cost Basis Combined]]/(_xlfn.XLOOKUP(tbAllTrades[[#This Row],[Cur]],tbExchangeRate[Currency],tbExchangeRate[Exchange Rate],,0,1)),"No Cur")</f>
        <v>No Cur</v>
      </c>
      <c r="AH21" s="170" t="str">
        <f>IFERROR(IF(tbAllTrades[[#This Row],[Exit Price]]="","",(tbAllTrades[[#This Row],[ROI (%) + Dividend]]*(365/tbAllTrades[[#This Row],[Days]]))),0)</f>
        <v/>
      </c>
      <c r="AI21" s="174">
        <f ca="1">IF(tbAllTrades[[#This Row],[Exit Date]]&lt;&gt;"",tbAllTrades[[#This Row],[Exit Date]]-tbAllTrades[[#This Row],[Entry Date]],IF(TodaysDate-tbAllTrades[[#This Row],[Entry Date]]&gt;40000,0,TodaysDate-tbAllTrades[[#This Row],[Entry Date]]))</f>
        <v>0</v>
      </c>
      <c r="AJ21" s="14"/>
      <c r="AK21" s="175"/>
    </row>
    <row r="22" spans="1:37">
      <c r="A22" s="6"/>
      <c r="B22" s="161"/>
      <c r="C22" s="161"/>
      <c r="D22" s="5"/>
      <c r="E22" s="5"/>
      <c r="F22" s="5"/>
      <c r="G22" s="161"/>
      <c r="H22" s="49"/>
      <c r="I22" s="50"/>
      <c r="J22" s="129"/>
      <c r="K22" s="169">
        <f>tbAllTrades[[#This Row],[Entry Price]]*tbAllTrades[[#This Row],[No. of Shares]]</f>
        <v>0</v>
      </c>
      <c r="L22" s="52"/>
      <c r="M22" s="170">
        <f>IF(tbAllTrades[[#This Row],[Strategy]]&lt;&gt;"",
SUMIFS(tbAllTrades[Position Size],tbAllTrades[Exit Date],"="&amp; tbAllTrades[[#This Row],[Exit Date]],tbAllTrades[Stock],tbAllTrades[[#This Row],[Stock]],tbAllTrades[Strategy],tbAllTrades[[#This Row],[Strategy]]),
SUMIFS(tbAllTrades[Position Size],tbAllTrades[Exit Date],"="&amp; tbAllTrades[[#This Row],[Exit Date]],tbAllTrades[Stock],tbAllTrades[[#This Row],[Stock]]))</f>
        <v>0</v>
      </c>
      <c r="N22" s="170" t="str">
        <f>IFERROR(tbAllTrades[[#This Row],[Cost Basis Com in Base Curr]]/Portfolio_Balance,"No Cur")</f>
        <v>No Cur</v>
      </c>
      <c r="O22" s="221"/>
      <c r="P22" s="51"/>
      <c r="Q22" s="169">
        <f>tbAllTrades[[#This Row],[Exit Price]]*tbAllTrades[[#This Row],[No. of Shares]]</f>
        <v>0</v>
      </c>
      <c r="R22" s="116"/>
      <c r="S22" s="50"/>
      <c r="T22" s="171" t="str">
        <f>IF(tbAllTrades[[#This Row],[Exit Price]]="","",IF(tbAllTrades[[#This Row],[Short Sold]]&lt;&gt;"",tbAllTrades[[#This Row],[Cost Basis]]-tbAllTrades[[#This Row],[Investment Out]],tbAllTrades[[#This Row],[Investment Out]]-tbAllTrades[[#This Row],[Cost Basis]]))</f>
        <v/>
      </c>
      <c r="U22" s="171">
        <f>IF(tbAllTrades[[#This Row],[Strategy]]&lt;&gt;"",
(SUMIFS(tbAllTrades[ROI ($)],tbAllTrades[Exit Date],"="&amp; tbAllTrades[[#This Row],[Exit Date]],tbAllTrades[Stock],tbAllTrades[[#This Row],[Stock]],tbAllTrades[Strategy],tbAllTrades[[#This Row],[Strategy]])),
(SUMIFS(tbAllTrades[ROI ($)],tbAllTrades[Exit Date],"="&amp; tbAllTrades[[#This Row],[Exit Date]],tbAllTrades[Stock],tbAllTrades[[#This Row],[Stock]])))</f>
        <v>0</v>
      </c>
      <c r="V22" s="170" t="str">
        <f>IF(tbAllTrades[[#This Row],[Exit Price]]="","",(tbAllTrades[[#This Row],[ROI ($)]]/tbAllTrades[[#This Row],[Cost Basis]]))</f>
        <v/>
      </c>
      <c r="W22" s="170">
        <f>IFERROR((tbAllTrades[[#This Row],[Combined ROI ($)]]/tbAllTrades[[#This Row],[Cost Basis Combined]]),0)</f>
        <v>0</v>
      </c>
      <c r="X22" s="51"/>
      <c r="Y22" s="271">
        <f>tbAllTrades[[#This Row],[Dividends (cents)]]*tbAllTrades[[#This Row],[No. of Shares]]</f>
        <v>0</v>
      </c>
      <c r="Z22" s="172" t="str">
        <f>IF(tbAllTrades[[#This Row],[Exit Price]]="","",IF(tbAllTrades[[#This Row],[Short Sold]]&lt;&gt;"",tbAllTrades[[#This Row],[Investment In]]-tbAllTrades[[#This Row],[Investment Out]]-tbAllTrades[[#This Row],[Dividend Total]]-tbAllTrades[[#This Row],[Commission]],tbAllTrades[[#This Row],[Investment Out]]-tbAllTrades[[#This Row],[Investment In]]+tbAllTrades[[#This Row],[Dividend Total]]-tbAllTrades[[#This Row],[Commission]]))</f>
        <v/>
      </c>
      <c r="AA22" s="172">
        <f>IF(tbAllTrades[[#This Row],[Strategy]]&lt;&gt;"",(SUMIFS(tbAllTrades[ROI ($) + Dividend],tbAllTrades[Exit Date],"="&amp; tbAllTrades[[#This Row],[Exit Date]],tbAllTrades[Stock],tbAllTrades[[#This Row],[Stock]],tbAllTrades[Strategy],tbAllTrades[[#This Row],[Strategy]])),(SUMIFS(tbAllTrades[ROI ($) + Dividend],tbAllTrades[Exit Date],"="&amp; tbAllTrades[[#This Row],[Exit Date]],tbAllTrades[Stock],tbAllTrades[[#This Row],[Stock]])))</f>
        <v>0</v>
      </c>
      <c r="AB22" s="172">
        <f>SUMIFS(tbAllTrades[ROI ($) + Dividend],tbAllTrades[Exit Date],"="&amp; tbAllTrades[[#This Row],[Exit Date]],tbAllTrades[Stock],tbAllTrades[[#This Row],[Stock]])</f>
        <v>0</v>
      </c>
      <c r="AC22" s="173" t="str">
        <f>IF(tbAllTrades[[#This Row],[Exit Price]]="","",(tbAllTrades[[#This Row],[ROI ($) + Dividend]]/tbAllTrades[[#This Row],[Cost Basis]]))</f>
        <v/>
      </c>
      <c r="AD22" s="170">
        <f>IFERROR((tbAllTrades[[#This Row],[Comb ROI ($) + Div by Strat]]/tbAllTrades[[#This Row],[Cost Basis Combined]]),0)</f>
        <v>0</v>
      </c>
      <c r="AE22" s="226">
        <f>tbAllTrades[[#This Row],[Investment In]]+tbAllTrades[[#This Row],[Commission]]</f>
        <v>0</v>
      </c>
      <c r="AF22" s="226">
        <f>IF(tbAllTrades[[#This Row],[Strategy]]&lt;&gt;"",
SUMIFS(tbAllTrades[Cost Basis],tbAllTrades[Exit Date],"="&amp; tbAllTrades[[#This Row],[Exit Date]],tbAllTrades[Stock],tbAllTrades[[#This Row],[Stock]],tbAllTrades[Strategy],tbAllTrades[[#This Row],[Strategy]]),
SUMIFS(tbAllTrades[Cost Basis],tbAllTrades[Exit Date],"="&amp; tbAllTrades[[#This Row],[Exit Date]],tbAllTrades[Stock],tbAllTrades[[#This Row],[Stock]]))</f>
        <v>0</v>
      </c>
      <c r="AG22" s="226" t="str">
        <f>IFERROR(tbAllTrades[[#This Row],[Cost Basis Combined]]/(_xlfn.XLOOKUP(tbAllTrades[[#This Row],[Cur]],tbExchangeRate[Currency],tbExchangeRate[Exchange Rate],,0,1)),"No Cur")</f>
        <v>No Cur</v>
      </c>
      <c r="AH22" s="170" t="str">
        <f>IFERROR(IF(tbAllTrades[[#This Row],[Exit Price]]="","",(tbAllTrades[[#This Row],[ROI (%) + Dividend]]*(365/tbAllTrades[[#This Row],[Days]]))),0)</f>
        <v/>
      </c>
      <c r="AI22" s="174">
        <f ca="1">IF(tbAllTrades[[#This Row],[Exit Date]]&lt;&gt;"",tbAllTrades[[#This Row],[Exit Date]]-tbAllTrades[[#This Row],[Entry Date]],IF(TodaysDate-tbAllTrades[[#This Row],[Entry Date]]&gt;40000,0,TodaysDate-tbAllTrades[[#This Row],[Entry Date]]))</f>
        <v>0</v>
      </c>
      <c r="AJ22" s="14"/>
      <c r="AK22" s="175"/>
    </row>
    <row r="23" spans="1:37">
      <c r="A23" s="6"/>
      <c r="B23" s="161"/>
      <c r="C23" s="161"/>
      <c r="D23" s="5"/>
      <c r="E23" s="5"/>
      <c r="F23" s="5"/>
      <c r="G23" s="161"/>
      <c r="H23" s="49"/>
      <c r="I23" s="50"/>
      <c r="J23" s="129"/>
      <c r="K23" s="169">
        <f>tbAllTrades[[#This Row],[Entry Price]]*tbAllTrades[[#This Row],[No. of Shares]]</f>
        <v>0</v>
      </c>
      <c r="L23" s="52"/>
      <c r="M23" s="170">
        <f>IF(tbAllTrades[[#This Row],[Strategy]]&lt;&gt;"",
SUMIFS(tbAllTrades[Position Size],tbAllTrades[Exit Date],"="&amp; tbAllTrades[[#This Row],[Exit Date]],tbAllTrades[Stock],tbAllTrades[[#This Row],[Stock]],tbAllTrades[Strategy],tbAllTrades[[#This Row],[Strategy]]),
SUMIFS(tbAllTrades[Position Size],tbAllTrades[Exit Date],"="&amp; tbAllTrades[[#This Row],[Exit Date]],tbAllTrades[Stock],tbAllTrades[[#This Row],[Stock]]))</f>
        <v>0</v>
      </c>
      <c r="N23" s="170" t="str">
        <f>IFERROR(tbAllTrades[[#This Row],[Cost Basis Com in Base Curr]]/Portfolio_Balance,"No Cur")</f>
        <v>No Cur</v>
      </c>
      <c r="O23" s="221"/>
      <c r="P23" s="51"/>
      <c r="Q23" s="169">
        <f>tbAllTrades[[#This Row],[Exit Price]]*tbAllTrades[[#This Row],[No. of Shares]]</f>
        <v>0</v>
      </c>
      <c r="R23" s="116"/>
      <c r="S23" s="50"/>
      <c r="T23" s="171" t="str">
        <f>IF(tbAllTrades[[#This Row],[Exit Price]]="","",IF(tbAllTrades[[#This Row],[Short Sold]]&lt;&gt;"",tbAllTrades[[#This Row],[Cost Basis]]-tbAllTrades[[#This Row],[Investment Out]],tbAllTrades[[#This Row],[Investment Out]]-tbAllTrades[[#This Row],[Cost Basis]]))</f>
        <v/>
      </c>
      <c r="U23" s="171">
        <f>IF(tbAllTrades[[#This Row],[Strategy]]&lt;&gt;"",
(SUMIFS(tbAllTrades[ROI ($)],tbAllTrades[Exit Date],"="&amp; tbAllTrades[[#This Row],[Exit Date]],tbAllTrades[Stock],tbAllTrades[[#This Row],[Stock]],tbAllTrades[Strategy],tbAllTrades[[#This Row],[Strategy]])),
(SUMIFS(tbAllTrades[ROI ($)],tbAllTrades[Exit Date],"="&amp; tbAllTrades[[#This Row],[Exit Date]],tbAllTrades[Stock],tbAllTrades[[#This Row],[Stock]])))</f>
        <v>0</v>
      </c>
      <c r="V23" s="170" t="str">
        <f>IF(tbAllTrades[[#This Row],[Exit Price]]="","",(tbAllTrades[[#This Row],[ROI ($)]]/tbAllTrades[[#This Row],[Cost Basis]]))</f>
        <v/>
      </c>
      <c r="W23" s="170">
        <f>IFERROR((tbAllTrades[[#This Row],[Combined ROI ($)]]/tbAllTrades[[#This Row],[Cost Basis Combined]]),0)</f>
        <v>0</v>
      </c>
      <c r="X23" s="51"/>
      <c r="Y23" s="271">
        <f>tbAllTrades[[#This Row],[Dividends (cents)]]*tbAllTrades[[#This Row],[No. of Shares]]</f>
        <v>0</v>
      </c>
      <c r="Z23" s="172" t="str">
        <f>IF(tbAllTrades[[#This Row],[Exit Price]]="","",IF(tbAllTrades[[#This Row],[Short Sold]]&lt;&gt;"",tbAllTrades[[#This Row],[Investment In]]-tbAllTrades[[#This Row],[Investment Out]]-tbAllTrades[[#This Row],[Dividend Total]]-tbAllTrades[[#This Row],[Commission]],tbAllTrades[[#This Row],[Investment Out]]-tbAllTrades[[#This Row],[Investment In]]+tbAllTrades[[#This Row],[Dividend Total]]-tbAllTrades[[#This Row],[Commission]]))</f>
        <v/>
      </c>
      <c r="AA23" s="172">
        <f>IF(tbAllTrades[[#This Row],[Strategy]]&lt;&gt;"",(SUMIFS(tbAllTrades[ROI ($) + Dividend],tbAllTrades[Exit Date],"="&amp; tbAllTrades[[#This Row],[Exit Date]],tbAllTrades[Stock],tbAllTrades[[#This Row],[Stock]],tbAllTrades[Strategy],tbAllTrades[[#This Row],[Strategy]])),(SUMIFS(tbAllTrades[ROI ($) + Dividend],tbAllTrades[Exit Date],"="&amp; tbAllTrades[[#This Row],[Exit Date]],tbAllTrades[Stock],tbAllTrades[[#This Row],[Stock]])))</f>
        <v>0</v>
      </c>
      <c r="AB23" s="172">
        <f>SUMIFS(tbAllTrades[ROI ($) + Dividend],tbAllTrades[Exit Date],"="&amp; tbAllTrades[[#This Row],[Exit Date]],tbAllTrades[Stock],tbAllTrades[[#This Row],[Stock]])</f>
        <v>0</v>
      </c>
      <c r="AC23" s="173" t="str">
        <f>IF(tbAllTrades[[#This Row],[Exit Price]]="","",(tbAllTrades[[#This Row],[ROI ($) + Dividend]]/tbAllTrades[[#This Row],[Cost Basis]]))</f>
        <v/>
      </c>
      <c r="AD23" s="170">
        <f>IFERROR((tbAllTrades[[#This Row],[Comb ROI ($) + Div by Strat]]/tbAllTrades[[#This Row],[Cost Basis Combined]]),0)</f>
        <v>0</v>
      </c>
      <c r="AE23" s="226">
        <f>tbAllTrades[[#This Row],[Investment In]]+tbAllTrades[[#This Row],[Commission]]</f>
        <v>0</v>
      </c>
      <c r="AF23" s="226">
        <f>IF(tbAllTrades[[#This Row],[Strategy]]&lt;&gt;"",
SUMIFS(tbAllTrades[Cost Basis],tbAllTrades[Exit Date],"="&amp; tbAllTrades[[#This Row],[Exit Date]],tbAllTrades[Stock],tbAllTrades[[#This Row],[Stock]],tbAllTrades[Strategy],tbAllTrades[[#This Row],[Strategy]]),
SUMIFS(tbAllTrades[Cost Basis],tbAllTrades[Exit Date],"="&amp; tbAllTrades[[#This Row],[Exit Date]],tbAllTrades[Stock],tbAllTrades[[#This Row],[Stock]]))</f>
        <v>0</v>
      </c>
      <c r="AG23" s="226" t="str">
        <f>IFERROR(tbAllTrades[[#This Row],[Cost Basis Combined]]/(_xlfn.XLOOKUP(tbAllTrades[[#This Row],[Cur]],tbExchangeRate[Currency],tbExchangeRate[Exchange Rate],,0,1)),"No Cur")</f>
        <v>No Cur</v>
      </c>
      <c r="AH23" s="170" t="str">
        <f>IFERROR(IF(tbAllTrades[[#This Row],[Exit Price]]="","",(tbAllTrades[[#This Row],[ROI (%) + Dividend]]*(365/tbAllTrades[[#This Row],[Days]]))),0)</f>
        <v/>
      </c>
      <c r="AI23" s="174">
        <f ca="1">IF(tbAllTrades[[#This Row],[Exit Date]]&lt;&gt;"",tbAllTrades[[#This Row],[Exit Date]]-tbAllTrades[[#This Row],[Entry Date]],IF(TodaysDate-tbAllTrades[[#This Row],[Entry Date]]&gt;40000,0,TodaysDate-tbAllTrades[[#This Row],[Entry Date]]))</f>
        <v>0</v>
      </c>
      <c r="AJ23" s="14"/>
      <c r="AK23" s="175"/>
    </row>
    <row r="24" spans="1:37">
      <c r="A24" s="6"/>
      <c r="B24" s="161"/>
      <c r="C24" s="161"/>
      <c r="D24" s="5"/>
      <c r="E24" s="5"/>
      <c r="F24" s="5"/>
      <c r="G24" s="161"/>
      <c r="H24" s="49"/>
      <c r="I24" s="50"/>
      <c r="J24" s="129"/>
      <c r="K24" s="169">
        <f>tbAllTrades[[#This Row],[Entry Price]]*tbAllTrades[[#This Row],[No. of Shares]]</f>
        <v>0</v>
      </c>
      <c r="L24" s="52"/>
      <c r="M24" s="170">
        <f>IF(tbAllTrades[[#This Row],[Strategy]]&lt;&gt;"",
SUMIFS(tbAllTrades[Position Size],tbAllTrades[Exit Date],"="&amp; tbAllTrades[[#This Row],[Exit Date]],tbAllTrades[Stock],tbAllTrades[[#This Row],[Stock]],tbAllTrades[Strategy],tbAllTrades[[#This Row],[Strategy]]),
SUMIFS(tbAllTrades[Position Size],tbAllTrades[Exit Date],"="&amp; tbAllTrades[[#This Row],[Exit Date]],tbAllTrades[Stock],tbAllTrades[[#This Row],[Stock]]))</f>
        <v>0</v>
      </c>
      <c r="N24" s="170" t="str">
        <f>IFERROR(tbAllTrades[[#This Row],[Cost Basis Com in Base Curr]]/Portfolio_Balance,"No Cur")</f>
        <v>No Cur</v>
      </c>
      <c r="O24" s="221"/>
      <c r="P24" s="51"/>
      <c r="Q24" s="169">
        <f>tbAllTrades[[#This Row],[Exit Price]]*tbAllTrades[[#This Row],[No. of Shares]]</f>
        <v>0</v>
      </c>
      <c r="R24" s="116"/>
      <c r="S24" s="50"/>
      <c r="T24" s="171" t="str">
        <f>IF(tbAllTrades[[#This Row],[Exit Price]]="","",IF(tbAllTrades[[#This Row],[Short Sold]]&lt;&gt;"",tbAllTrades[[#This Row],[Cost Basis]]-tbAllTrades[[#This Row],[Investment Out]],tbAllTrades[[#This Row],[Investment Out]]-tbAllTrades[[#This Row],[Cost Basis]]))</f>
        <v/>
      </c>
      <c r="U24" s="171">
        <f>IF(tbAllTrades[[#This Row],[Strategy]]&lt;&gt;"",
(SUMIFS(tbAllTrades[ROI ($)],tbAllTrades[Exit Date],"="&amp; tbAllTrades[[#This Row],[Exit Date]],tbAllTrades[Stock],tbAllTrades[[#This Row],[Stock]],tbAllTrades[Strategy],tbAllTrades[[#This Row],[Strategy]])),
(SUMIFS(tbAllTrades[ROI ($)],tbAllTrades[Exit Date],"="&amp; tbAllTrades[[#This Row],[Exit Date]],tbAllTrades[Stock],tbAllTrades[[#This Row],[Stock]])))</f>
        <v>0</v>
      </c>
      <c r="V24" s="170" t="str">
        <f>IF(tbAllTrades[[#This Row],[Exit Price]]="","",(tbAllTrades[[#This Row],[ROI ($)]]/tbAllTrades[[#This Row],[Cost Basis]]))</f>
        <v/>
      </c>
      <c r="W24" s="170">
        <f>IFERROR((tbAllTrades[[#This Row],[Combined ROI ($)]]/tbAllTrades[[#This Row],[Cost Basis Combined]]),0)</f>
        <v>0</v>
      </c>
      <c r="X24" s="51"/>
      <c r="Y24" s="271">
        <f>tbAllTrades[[#This Row],[Dividends (cents)]]*tbAllTrades[[#This Row],[No. of Shares]]</f>
        <v>0</v>
      </c>
      <c r="Z24" s="172" t="str">
        <f>IF(tbAllTrades[[#This Row],[Exit Price]]="","",IF(tbAllTrades[[#This Row],[Short Sold]]&lt;&gt;"",tbAllTrades[[#This Row],[Investment In]]-tbAllTrades[[#This Row],[Investment Out]]-tbAllTrades[[#This Row],[Dividend Total]]-tbAllTrades[[#This Row],[Commission]],tbAllTrades[[#This Row],[Investment Out]]-tbAllTrades[[#This Row],[Investment In]]+tbAllTrades[[#This Row],[Dividend Total]]-tbAllTrades[[#This Row],[Commission]]))</f>
        <v/>
      </c>
      <c r="AA24" s="172">
        <f>IF(tbAllTrades[[#This Row],[Strategy]]&lt;&gt;"",(SUMIFS(tbAllTrades[ROI ($) + Dividend],tbAllTrades[Exit Date],"="&amp; tbAllTrades[[#This Row],[Exit Date]],tbAllTrades[Stock],tbAllTrades[[#This Row],[Stock]],tbAllTrades[Strategy],tbAllTrades[[#This Row],[Strategy]])),(SUMIFS(tbAllTrades[ROI ($) + Dividend],tbAllTrades[Exit Date],"="&amp; tbAllTrades[[#This Row],[Exit Date]],tbAllTrades[Stock],tbAllTrades[[#This Row],[Stock]])))</f>
        <v>0</v>
      </c>
      <c r="AB24" s="172">
        <f>SUMIFS(tbAllTrades[ROI ($) + Dividend],tbAllTrades[Exit Date],"="&amp; tbAllTrades[[#This Row],[Exit Date]],tbAllTrades[Stock],tbAllTrades[[#This Row],[Stock]])</f>
        <v>0</v>
      </c>
      <c r="AC24" s="173" t="str">
        <f>IF(tbAllTrades[[#This Row],[Exit Price]]="","",(tbAllTrades[[#This Row],[ROI ($) + Dividend]]/tbAllTrades[[#This Row],[Cost Basis]]))</f>
        <v/>
      </c>
      <c r="AD24" s="170">
        <f>IFERROR((tbAllTrades[[#This Row],[Comb ROI ($) + Div by Strat]]/tbAllTrades[[#This Row],[Cost Basis Combined]]),0)</f>
        <v>0</v>
      </c>
      <c r="AE24" s="226">
        <f>tbAllTrades[[#This Row],[Investment In]]+tbAllTrades[[#This Row],[Commission]]</f>
        <v>0</v>
      </c>
      <c r="AF24" s="226">
        <f>IF(tbAllTrades[[#This Row],[Strategy]]&lt;&gt;"",
SUMIFS(tbAllTrades[Cost Basis],tbAllTrades[Exit Date],"="&amp; tbAllTrades[[#This Row],[Exit Date]],tbAllTrades[Stock],tbAllTrades[[#This Row],[Stock]],tbAllTrades[Strategy],tbAllTrades[[#This Row],[Strategy]]),
SUMIFS(tbAllTrades[Cost Basis],tbAllTrades[Exit Date],"="&amp; tbAllTrades[[#This Row],[Exit Date]],tbAllTrades[Stock],tbAllTrades[[#This Row],[Stock]]))</f>
        <v>0</v>
      </c>
      <c r="AG24" s="226" t="str">
        <f>IFERROR(tbAllTrades[[#This Row],[Cost Basis Combined]]/(_xlfn.XLOOKUP(tbAllTrades[[#This Row],[Cur]],tbExchangeRate[Currency],tbExchangeRate[Exchange Rate],,0,1)),"No Cur")</f>
        <v>No Cur</v>
      </c>
      <c r="AH24" s="170" t="str">
        <f>IFERROR(IF(tbAllTrades[[#This Row],[Exit Price]]="","",(tbAllTrades[[#This Row],[ROI (%) + Dividend]]*(365/tbAllTrades[[#This Row],[Days]]))),0)</f>
        <v/>
      </c>
      <c r="AI24" s="174">
        <f ca="1">IF(tbAllTrades[[#This Row],[Exit Date]]&lt;&gt;"",tbAllTrades[[#This Row],[Exit Date]]-tbAllTrades[[#This Row],[Entry Date]],IF(TodaysDate-tbAllTrades[[#This Row],[Entry Date]]&gt;40000,0,TodaysDate-tbAllTrades[[#This Row],[Entry Date]]))</f>
        <v>0</v>
      </c>
      <c r="AJ24" s="14"/>
      <c r="AK24" s="175"/>
    </row>
    <row r="25" spans="1:37">
      <c r="A25" s="6"/>
      <c r="B25" s="161"/>
      <c r="C25" s="161"/>
      <c r="D25" s="5"/>
      <c r="E25" s="5"/>
      <c r="F25" s="5"/>
      <c r="G25" s="161"/>
      <c r="H25" s="49"/>
      <c r="I25" s="50"/>
      <c r="J25" s="129"/>
      <c r="K25" s="169">
        <f>tbAllTrades[[#This Row],[Entry Price]]*tbAllTrades[[#This Row],[No. of Shares]]</f>
        <v>0</v>
      </c>
      <c r="L25" s="52"/>
      <c r="M25" s="170">
        <f>IF(tbAllTrades[[#This Row],[Strategy]]&lt;&gt;"",
SUMIFS(tbAllTrades[Position Size],tbAllTrades[Exit Date],"="&amp; tbAllTrades[[#This Row],[Exit Date]],tbAllTrades[Stock],tbAllTrades[[#This Row],[Stock]],tbAllTrades[Strategy],tbAllTrades[[#This Row],[Strategy]]),
SUMIFS(tbAllTrades[Position Size],tbAllTrades[Exit Date],"="&amp; tbAllTrades[[#This Row],[Exit Date]],tbAllTrades[Stock],tbAllTrades[[#This Row],[Stock]]))</f>
        <v>0</v>
      </c>
      <c r="N25" s="170" t="str">
        <f>IFERROR(tbAllTrades[[#This Row],[Cost Basis Com in Base Curr]]/Portfolio_Balance,"No Cur")</f>
        <v>No Cur</v>
      </c>
      <c r="O25" s="221"/>
      <c r="P25" s="51"/>
      <c r="Q25" s="169">
        <f>tbAllTrades[[#This Row],[Exit Price]]*tbAllTrades[[#This Row],[No. of Shares]]</f>
        <v>0</v>
      </c>
      <c r="R25" s="116"/>
      <c r="S25" s="50"/>
      <c r="T25" s="171" t="str">
        <f>IF(tbAllTrades[[#This Row],[Exit Price]]="","",IF(tbAllTrades[[#This Row],[Short Sold]]&lt;&gt;"",tbAllTrades[[#This Row],[Cost Basis]]-tbAllTrades[[#This Row],[Investment Out]],tbAllTrades[[#This Row],[Investment Out]]-tbAllTrades[[#This Row],[Cost Basis]]))</f>
        <v/>
      </c>
      <c r="U25" s="171">
        <f>IF(tbAllTrades[[#This Row],[Strategy]]&lt;&gt;"",
(SUMIFS(tbAllTrades[ROI ($)],tbAllTrades[Exit Date],"="&amp; tbAllTrades[[#This Row],[Exit Date]],tbAllTrades[Stock],tbAllTrades[[#This Row],[Stock]],tbAllTrades[Strategy],tbAllTrades[[#This Row],[Strategy]])),
(SUMIFS(tbAllTrades[ROI ($)],tbAllTrades[Exit Date],"="&amp; tbAllTrades[[#This Row],[Exit Date]],tbAllTrades[Stock],tbAllTrades[[#This Row],[Stock]])))</f>
        <v>0</v>
      </c>
      <c r="V25" s="170" t="str">
        <f>IF(tbAllTrades[[#This Row],[Exit Price]]="","",(tbAllTrades[[#This Row],[ROI ($)]]/tbAllTrades[[#This Row],[Cost Basis]]))</f>
        <v/>
      </c>
      <c r="W25" s="170">
        <f>IFERROR((tbAllTrades[[#This Row],[Combined ROI ($)]]/tbAllTrades[[#This Row],[Cost Basis Combined]]),0)</f>
        <v>0</v>
      </c>
      <c r="X25" s="51"/>
      <c r="Y25" s="271">
        <f>tbAllTrades[[#This Row],[Dividends (cents)]]*tbAllTrades[[#This Row],[No. of Shares]]</f>
        <v>0</v>
      </c>
      <c r="Z25" s="172" t="str">
        <f>IF(tbAllTrades[[#This Row],[Exit Price]]="","",IF(tbAllTrades[[#This Row],[Short Sold]]&lt;&gt;"",tbAllTrades[[#This Row],[Investment In]]-tbAllTrades[[#This Row],[Investment Out]]-tbAllTrades[[#This Row],[Dividend Total]]-tbAllTrades[[#This Row],[Commission]],tbAllTrades[[#This Row],[Investment Out]]-tbAllTrades[[#This Row],[Investment In]]+tbAllTrades[[#This Row],[Dividend Total]]-tbAllTrades[[#This Row],[Commission]]))</f>
        <v/>
      </c>
      <c r="AA25" s="172">
        <f>IF(tbAllTrades[[#This Row],[Strategy]]&lt;&gt;"",(SUMIFS(tbAllTrades[ROI ($) + Dividend],tbAllTrades[Exit Date],"="&amp; tbAllTrades[[#This Row],[Exit Date]],tbAllTrades[Stock],tbAllTrades[[#This Row],[Stock]],tbAllTrades[Strategy],tbAllTrades[[#This Row],[Strategy]])),(SUMIFS(tbAllTrades[ROI ($) + Dividend],tbAllTrades[Exit Date],"="&amp; tbAllTrades[[#This Row],[Exit Date]],tbAllTrades[Stock],tbAllTrades[[#This Row],[Stock]])))</f>
        <v>0</v>
      </c>
      <c r="AB25" s="172">
        <f>SUMIFS(tbAllTrades[ROI ($) + Dividend],tbAllTrades[Exit Date],"="&amp; tbAllTrades[[#This Row],[Exit Date]],tbAllTrades[Stock],tbAllTrades[[#This Row],[Stock]])</f>
        <v>0</v>
      </c>
      <c r="AC25" s="173" t="str">
        <f>IF(tbAllTrades[[#This Row],[Exit Price]]="","",(tbAllTrades[[#This Row],[ROI ($) + Dividend]]/tbAllTrades[[#This Row],[Cost Basis]]))</f>
        <v/>
      </c>
      <c r="AD25" s="170">
        <f>IFERROR((tbAllTrades[[#This Row],[Comb ROI ($) + Div by Strat]]/tbAllTrades[[#This Row],[Cost Basis Combined]]),0)</f>
        <v>0</v>
      </c>
      <c r="AE25" s="226">
        <f>tbAllTrades[[#This Row],[Investment In]]+tbAllTrades[[#This Row],[Commission]]</f>
        <v>0</v>
      </c>
      <c r="AF25" s="226">
        <f>IF(tbAllTrades[[#This Row],[Strategy]]&lt;&gt;"",
SUMIFS(tbAllTrades[Cost Basis],tbAllTrades[Exit Date],"="&amp; tbAllTrades[[#This Row],[Exit Date]],tbAllTrades[Stock],tbAllTrades[[#This Row],[Stock]],tbAllTrades[Strategy],tbAllTrades[[#This Row],[Strategy]]),
SUMIFS(tbAllTrades[Cost Basis],tbAllTrades[Exit Date],"="&amp; tbAllTrades[[#This Row],[Exit Date]],tbAllTrades[Stock],tbAllTrades[[#This Row],[Stock]]))</f>
        <v>0</v>
      </c>
      <c r="AG25" s="226" t="str">
        <f>IFERROR(tbAllTrades[[#This Row],[Cost Basis Combined]]/(_xlfn.XLOOKUP(tbAllTrades[[#This Row],[Cur]],tbExchangeRate[Currency],tbExchangeRate[Exchange Rate],,0,1)),"No Cur")</f>
        <v>No Cur</v>
      </c>
      <c r="AH25" s="170" t="str">
        <f>IFERROR(IF(tbAllTrades[[#This Row],[Exit Price]]="","",(tbAllTrades[[#This Row],[ROI (%) + Dividend]]*(365/tbAllTrades[[#This Row],[Days]]))),0)</f>
        <v/>
      </c>
      <c r="AI25" s="174">
        <f ca="1">IF(tbAllTrades[[#This Row],[Exit Date]]&lt;&gt;"",tbAllTrades[[#This Row],[Exit Date]]-tbAllTrades[[#This Row],[Entry Date]],IF(TodaysDate-tbAllTrades[[#This Row],[Entry Date]]&gt;40000,0,TodaysDate-tbAllTrades[[#This Row],[Entry Date]]))</f>
        <v>0</v>
      </c>
      <c r="AJ25" s="14"/>
      <c r="AK25" s="175"/>
    </row>
    <row r="26" spans="1:37">
      <c r="A26" s="6"/>
      <c r="B26" s="161"/>
      <c r="C26" s="161"/>
      <c r="D26" s="5"/>
      <c r="E26" s="5"/>
      <c r="F26" s="5"/>
      <c r="G26" s="161"/>
      <c r="H26" s="49"/>
      <c r="I26" s="50"/>
      <c r="J26" s="129"/>
      <c r="K26" s="169">
        <f>tbAllTrades[[#This Row],[Entry Price]]*tbAllTrades[[#This Row],[No. of Shares]]</f>
        <v>0</v>
      </c>
      <c r="L26" s="52"/>
      <c r="M26" s="170">
        <f>IF(tbAllTrades[[#This Row],[Strategy]]&lt;&gt;"",
SUMIFS(tbAllTrades[Position Size],tbAllTrades[Exit Date],"="&amp; tbAllTrades[[#This Row],[Exit Date]],tbAllTrades[Stock],tbAllTrades[[#This Row],[Stock]],tbAllTrades[Strategy],tbAllTrades[[#This Row],[Strategy]]),
SUMIFS(tbAllTrades[Position Size],tbAllTrades[Exit Date],"="&amp; tbAllTrades[[#This Row],[Exit Date]],tbAllTrades[Stock],tbAllTrades[[#This Row],[Stock]]))</f>
        <v>0</v>
      </c>
      <c r="N26" s="170" t="str">
        <f>IFERROR(tbAllTrades[[#This Row],[Cost Basis Com in Base Curr]]/Portfolio_Balance,"No Cur")</f>
        <v>No Cur</v>
      </c>
      <c r="O26" s="221"/>
      <c r="P26" s="51"/>
      <c r="Q26" s="169">
        <f>tbAllTrades[[#This Row],[Exit Price]]*tbAllTrades[[#This Row],[No. of Shares]]</f>
        <v>0</v>
      </c>
      <c r="R26" s="116"/>
      <c r="S26" s="50"/>
      <c r="T26" s="171" t="str">
        <f>IF(tbAllTrades[[#This Row],[Exit Price]]="","",IF(tbAllTrades[[#This Row],[Short Sold]]&lt;&gt;"",tbAllTrades[[#This Row],[Cost Basis]]-tbAllTrades[[#This Row],[Investment Out]],tbAllTrades[[#This Row],[Investment Out]]-tbAllTrades[[#This Row],[Cost Basis]]))</f>
        <v/>
      </c>
      <c r="U26" s="171">
        <f>IF(tbAllTrades[[#This Row],[Strategy]]&lt;&gt;"",
(SUMIFS(tbAllTrades[ROI ($)],tbAllTrades[Exit Date],"="&amp; tbAllTrades[[#This Row],[Exit Date]],tbAllTrades[Stock],tbAllTrades[[#This Row],[Stock]],tbAllTrades[Strategy],tbAllTrades[[#This Row],[Strategy]])),
(SUMIFS(tbAllTrades[ROI ($)],tbAllTrades[Exit Date],"="&amp; tbAllTrades[[#This Row],[Exit Date]],tbAllTrades[Stock],tbAllTrades[[#This Row],[Stock]])))</f>
        <v>0</v>
      </c>
      <c r="V26" s="170" t="str">
        <f>IF(tbAllTrades[[#This Row],[Exit Price]]="","",(tbAllTrades[[#This Row],[ROI ($)]]/tbAllTrades[[#This Row],[Cost Basis]]))</f>
        <v/>
      </c>
      <c r="W26" s="170">
        <f>IFERROR((tbAllTrades[[#This Row],[Combined ROI ($)]]/tbAllTrades[[#This Row],[Cost Basis Combined]]),0)</f>
        <v>0</v>
      </c>
      <c r="X26" s="51"/>
      <c r="Y26" s="271">
        <f>tbAllTrades[[#This Row],[Dividends (cents)]]*tbAllTrades[[#This Row],[No. of Shares]]</f>
        <v>0</v>
      </c>
      <c r="Z26" s="172" t="str">
        <f>IF(tbAllTrades[[#This Row],[Exit Price]]="","",IF(tbAllTrades[[#This Row],[Short Sold]]&lt;&gt;"",tbAllTrades[[#This Row],[Investment In]]-tbAllTrades[[#This Row],[Investment Out]]-tbAllTrades[[#This Row],[Dividend Total]]-tbAllTrades[[#This Row],[Commission]],tbAllTrades[[#This Row],[Investment Out]]-tbAllTrades[[#This Row],[Investment In]]+tbAllTrades[[#This Row],[Dividend Total]]-tbAllTrades[[#This Row],[Commission]]))</f>
        <v/>
      </c>
      <c r="AA26" s="172">
        <f>IF(tbAllTrades[[#This Row],[Strategy]]&lt;&gt;"",(SUMIFS(tbAllTrades[ROI ($) + Dividend],tbAllTrades[Exit Date],"="&amp; tbAllTrades[[#This Row],[Exit Date]],tbAllTrades[Stock],tbAllTrades[[#This Row],[Stock]],tbAllTrades[Strategy],tbAllTrades[[#This Row],[Strategy]])),(SUMIFS(tbAllTrades[ROI ($) + Dividend],tbAllTrades[Exit Date],"="&amp; tbAllTrades[[#This Row],[Exit Date]],tbAllTrades[Stock],tbAllTrades[[#This Row],[Stock]])))</f>
        <v>0</v>
      </c>
      <c r="AB26" s="172">
        <f>SUMIFS(tbAllTrades[ROI ($) + Dividend],tbAllTrades[Exit Date],"="&amp; tbAllTrades[[#This Row],[Exit Date]],tbAllTrades[Stock],tbAllTrades[[#This Row],[Stock]])</f>
        <v>0</v>
      </c>
      <c r="AC26" s="173" t="str">
        <f>IF(tbAllTrades[[#This Row],[Exit Price]]="","",(tbAllTrades[[#This Row],[ROI ($) + Dividend]]/tbAllTrades[[#This Row],[Cost Basis]]))</f>
        <v/>
      </c>
      <c r="AD26" s="170">
        <f>IFERROR((tbAllTrades[[#This Row],[Comb ROI ($) + Div by Strat]]/tbAllTrades[[#This Row],[Cost Basis Combined]]),0)</f>
        <v>0</v>
      </c>
      <c r="AE26" s="226">
        <f>tbAllTrades[[#This Row],[Investment In]]+tbAllTrades[[#This Row],[Commission]]</f>
        <v>0</v>
      </c>
      <c r="AF26" s="226">
        <f>IF(tbAllTrades[[#This Row],[Strategy]]&lt;&gt;"",
SUMIFS(tbAllTrades[Cost Basis],tbAllTrades[Exit Date],"="&amp; tbAllTrades[[#This Row],[Exit Date]],tbAllTrades[Stock],tbAllTrades[[#This Row],[Stock]],tbAllTrades[Strategy],tbAllTrades[[#This Row],[Strategy]]),
SUMIFS(tbAllTrades[Cost Basis],tbAllTrades[Exit Date],"="&amp; tbAllTrades[[#This Row],[Exit Date]],tbAllTrades[Stock],tbAllTrades[[#This Row],[Stock]]))</f>
        <v>0</v>
      </c>
      <c r="AG26" s="226" t="str">
        <f>IFERROR(tbAllTrades[[#This Row],[Cost Basis Combined]]/(_xlfn.XLOOKUP(tbAllTrades[[#This Row],[Cur]],tbExchangeRate[Currency],tbExchangeRate[Exchange Rate],,0,1)),"No Cur")</f>
        <v>No Cur</v>
      </c>
      <c r="AH26" s="170" t="str">
        <f>IFERROR(IF(tbAllTrades[[#This Row],[Exit Price]]="","",(tbAllTrades[[#This Row],[ROI (%) + Dividend]]*(365/tbAllTrades[[#This Row],[Days]]))),0)</f>
        <v/>
      </c>
      <c r="AI26" s="174">
        <f ca="1">IF(tbAllTrades[[#This Row],[Exit Date]]&lt;&gt;"",tbAllTrades[[#This Row],[Exit Date]]-tbAllTrades[[#This Row],[Entry Date]],IF(TodaysDate-tbAllTrades[[#This Row],[Entry Date]]&gt;40000,0,TodaysDate-tbAllTrades[[#This Row],[Entry Date]]))</f>
        <v>0</v>
      </c>
      <c r="AJ26" s="14"/>
      <c r="AK26" s="175"/>
    </row>
    <row r="27" spans="1:37">
      <c r="A27" s="6"/>
      <c r="B27" s="161"/>
      <c r="C27" s="161"/>
      <c r="D27" s="5"/>
      <c r="E27" s="5"/>
      <c r="F27" s="5"/>
      <c r="G27" s="161"/>
      <c r="H27" s="49"/>
      <c r="I27" s="50"/>
      <c r="J27" s="129"/>
      <c r="K27" s="169">
        <f>tbAllTrades[[#This Row],[Entry Price]]*tbAllTrades[[#This Row],[No. of Shares]]</f>
        <v>0</v>
      </c>
      <c r="L27" s="52"/>
      <c r="M27" s="170">
        <f>IF(tbAllTrades[[#This Row],[Strategy]]&lt;&gt;"",
SUMIFS(tbAllTrades[Position Size],tbAllTrades[Exit Date],"="&amp; tbAllTrades[[#This Row],[Exit Date]],tbAllTrades[Stock],tbAllTrades[[#This Row],[Stock]],tbAllTrades[Strategy],tbAllTrades[[#This Row],[Strategy]]),
SUMIFS(tbAllTrades[Position Size],tbAllTrades[Exit Date],"="&amp; tbAllTrades[[#This Row],[Exit Date]],tbAllTrades[Stock],tbAllTrades[[#This Row],[Stock]]))</f>
        <v>0</v>
      </c>
      <c r="N27" s="170" t="str">
        <f>IFERROR(tbAllTrades[[#This Row],[Cost Basis Com in Base Curr]]/Portfolio_Balance,"No Cur")</f>
        <v>No Cur</v>
      </c>
      <c r="O27" s="221"/>
      <c r="P27" s="51"/>
      <c r="Q27" s="169">
        <f>tbAllTrades[[#This Row],[Exit Price]]*tbAllTrades[[#This Row],[No. of Shares]]</f>
        <v>0</v>
      </c>
      <c r="R27" s="116"/>
      <c r="S27" s="50"/>
      <c r="T27" s="171" t="str">
        <f>IF(tbAllTrades[[#This Row],[Exit Price]]="","",IF(tbAllTrades[[#This Row],[Short Sold]]&lt;&gt;"",tbAllTrades[[#This Row],[Cost Basis]]-tbAllTrades[[#This Row],[Investment Out]],tbAllTrades[[#This Row],[Investment Out]]-tbAllTrades[[#This Row],[Cost Basis]]))</f>
        <v/>
      </c>
      <c r="U27" s="171">
        <f>IF(tbAllTrades[[#This Row],[Strategy]]&lt;&gt;"",
(SUMIFS(tbAllTrades[ROI ($)],tbAllTrades[Exit Date],"="&amp; tbAllTrades[[#This Row],[Exit Date]],tbAllTrades[Stock],tbAllTrades[[#This Row],[Stock]],tbAllTrades[Strategy],tbAllTrades[[#This Row],[Strategy]])),
(SUMIFS(tbAllTrades[ROI ($)],tbAllTrades[Exit Date],"="&amp; tbAllTrades[[#This Row],[Exit Date]],tbAllTrades[Stock],tbAllTrades[[#This Row],[Stock]])))</f>
        <v>0</v>
      </c>
      <c r="V27" s="170" t="str">
        <f>IF(tbAllTrades[[#This Row],[Exit Price]]="","",(tbAllTrades[[#This Row],[ROI ($)]]/tbAllTrades[[#This Row],[Cost Basis]]))</f>
        <v/>
      </c>
      <c r="W27" s="170">
        <f>IFERROR((tbAllTrades[[#This Row],[Combined ROI ($)]]/tbAllTrades[[#This Row],[Cost Basis Combined]]),0)</f>
        <v>0</v>
      </c>
      <c r="X27" s="51"/>
      <c r="Y27" s="271">
        <f>tbAllTrades[[#This Row],[Dividends (cents)]]*tbAllTrades[[#This Row],[No. of Shares]]</f>
        <v>0</v>
      </c>
      <c r="Z27" s="172" t="str">
        <f>IF(tbAllTrades[[#This Row],[Exit Price]]="","",IF(tbAllTrades[[#This Row],[Short Sold]]&lt;&gt;"",tbAllTrades[[#This Row],[Investment In]]-tbAllTrades[[#This Row],[Investment Out]]-tbAllTrades[[#This Row],[Dividend Total]]-tbAllTrades[[#This Row],[Commission]],tbAllTrades[[#This Row],[Investment Out]]-tbAllTrades[[#This Row],[Investment In]]+tbAllTrades[[#This Row],[Dividend Total]]-tbAllTrades[[#This Row],[Commission]]))</f>
        <v/>
      </c>
      <c r="AA27" s="172">
        <f>IF(tbAllTrades[[#This Row],[Strategy]]&lt;&gt;"",(SUMIFS(tbAllTrades[ROI ($) + Dividend],tbAllTrades[Exit Date],"="&amp; tbAllTrades[[#This Row],[Exit Date]],tbAllTrades[Stock],tbAllTrades[[#This Row],[Stock]],tbAllTrades[Strategy],tbAllTrades[[#This Row],[Strategy]])),(SUMIFS(tbAllTrades[ROI ($) + Dividend],tbAllTrades[Exit Date],"="&amp; tbAllTrades[[#This Row],[Exit Date]],tbAllTrades[Stock],tbAllTrades[[#This Row],[Stock]])))</f>
        <v>0</v>
      </c>
      <c r="AB27" s="172">
        <f>SUMIFS(tbAllTrades[ROI ($) + Dividend],tbAllTrades[Exit Date],"="&amp; tbAllTrades[[#This Row],[Exit Date]],tbAllTrades[Stock],tbAllTrades[[#This Row],[Stock]])</f>
        <v>0</v>
      </c>
      <c r="AC27" s="173" t="str">
        <f>IF(tbAllTrades[[#This Row],[Exit Price]]="","",(tbAllTrades[[#This Row],[ROI ($) + Dividend]]/tbAllTrades[[#This Row],[Cost Basis]]))</f>
        <v/>
      </c>
      <c r="AD27" s="170">
        <f>IFERROR((tbAllTrades[[#This Row],[Comb ROI ($) + Div by Strat]]/tbAllTrades[[#This Row],[Cost Basis Combined]]),0)</f>
        <v>0</v>
      </c>
      <c r="AE27" s="226">
        <f>tbAllTrades[[#This Row],[Investment In]]+tbAllTrades[[#This Row],[Commission]]</f>
        <v>0</v>
      </c>
      <c r="AF27" s="226">
        <f>IF(tbAllTrades[[#This Row],[Strategy]]&lt;&gt;"",
SUMIFS(tbAllTrades[Cost Basis],tbAllTrades[Exit Date],"="&amp; tbAllTrades[[#This Row],[Exit Date]],tbAllTrades[Stock],tbAllTrades[[#This Row],[Stock]],tbAllTrades[Strategy],tbAllTrades[[#This Row],[Strategy]]),
SUMIFS(tbAllTrades[Cost Basis],tbAllTrades[Exit Date],"="&amp; tbAllTrades[[#This Row],[Exit Date]],tbAllTrades[Stock],tbAllTrades[[#This Row],[Stock]]))</f>
        <v>0</v>
      </c>
      <c r="AG27" s="226" t="str">
        <f>IFERROR(tbAllTrades[[#This Row],[Cost Basis Combined]]/(_xlfn.XLOOKUP(tbAllTrades[[#This Row],[Cur]],tbExchangeRate[Currency],tbExchangeRate[Exchange Rate],,0,1)),"No Cur")</f>
        <v>No Cur</v>
      </c>
      <c r="AH27" s="170" t="str">
        <f>IFERROR(IF(tbAllTrades[[#This Row],[Exit Price]]="","",(tbAllTrades[[#This Row],[ROI (%) + Dividend]]*(365/tbAllTrades[[#This Row],[Days]]))),0)</f>
        <v/>
      </c>
      <c r="AI27" s="174">
        <f ca="1">IF(tbAllTrades[[#This Row],[Exit Date]]&lt;&gt;"",tbAllTrades[[#This Row],[Exit Date]]-tbAllTrades[[#This Row],[Entry Date]],IF(TodaysDate-tbAllTrades[[#This Row],[Entry Date]]&gt;40000,0,TodaysDate-tbAllTrades[[#This Row],[Entry Date]]))</f>
        <v>0</v>
      </c>
      <c r="AJ27" s="14"/>
      <c r="AK27" s="175"/>
    </row>
    <row r="28" spans="1:37">
      <c r="A28" s="6"/>
      <c r="B28" s="161"/>
      <c r="C28" s="161"/>
      <c r="D28" s="5"/>
      <c r="E28" s="5"/>
      <c r="F28" s="5"/>
      <c r="G28" s="161"/>
      <c r="H28" s="49"/>
      <c r="I28" s="50"/>
      <c r="J28" s="129"/>
      <c r="K28" s="169">
        <f>tbAllTrades[[#This Row],[Entry Price]]*tbAllTrades[[#This Row],[No. of Shares]]</f>
        <v>0</v>
      </c>
      <c r="L28" s="52"/>
      <c r="M28" s="170">
        <f>IF(tbAllTrades[[#This Row],[Strategy]]&lt;&gt;"",
SUMIFS(tbAllTrades[Position Size],tbAllTrades[Exit Date],"="&amp; tbAllTrades[[#This Row],[Exit Date]],tbAllTrades[Stock],tbAllTrades[[#This Row],[Stock]],tbAllTrades[Strategy],tbAllTrades[[#This Row],[Strategy]]),
SUMIFS(tbAllTrades[Position Size],tbAllTrades[Exit Date],"="&amp; tbAllTrades[[#This Row],[Exit Date]],tbAllTrades[Stock],tbAllTrades[[#This Row],[Stock]]))</f>
        <v>0</v>
      </c>
      <c r="N28" s="170" t="str">
        <f>IFERROR(tbAllTrades[[#This Row],[Cost Basis Com in Base Curr]]/Portfolio_Balance,"No Cur")</f>
        <v>No Cur</v>
      </c>
      <c r="O28" s="221"/>
      <c r="P28" s="51"/>
      <c r="Q28" s="169">
        <f>tbAllTrades[[#This Row],[Exit Price]]*tbAllTrades[[#This Row],[No. of Shares]]</f>
        <v>0</v>
      </c>
      <c r="R28" s="116"/>
      <c r="S28" s="50"/>
      <c r="T28" s="171" t="str">
        <f>IF(tbAllTrades[[#This Row],[Exit Price]]="","",IF(tbAllTrades[[#This Row],[Short Sold]]&lt;&gt;"",tbAllTrades[[#This Row],[Cost Basis]]-tbAllTrades[[#This Row],[Investment Out]],tbAllTrades[[#This Row],[Investment Out]]-tbAllTrades[[#This Row],[Cost Basis]]))</f>
        <v/>
      </c>
      <c r="U28" s="171">
        <f>IF(tbAllTrades[[#This Row],[Strategy]]&lt;&gt;"",
(SUMIFS(tbAllTrades[ROI ($)],tbAllTrades[Exit Date],"="&amp; tbAllTrades[[#This Row],[Exit Date]],tbAllTrades[Stock],tbAllTrades[[#This Row],[Stock]],tbAllTrades[Strategy],tbAllTrades[[#This Row],[Strategy]])),
(SUMIFS(tbAllTrades[ROI ($)],tbAllTrades[Exit Date],"="&amp; tbAllTrades[[#This Row],[Exit Date]],tbAllTrades[Stock],tbAllTrades[[#This Row],[Stock]])))</f>
        <v>0</v>
      </c>
      <c r="V28" s="170" t="str">
        <f>IF(tbAllTrades[[#This Row],[Exit Price]]="","",(tbAllTrades[[#This Row],[ROI ($)]]/tbAllTrades[[#This Row],[Cost Basis]]))</f>
        <v/>
      </c>
      <c r="W28" s="170">
        <f>IFERROR((tbAllTrades[[#This Row],[Combined ROI ($)]]/tbAllTrades[[#This Row],[Cost Basis Combined]]),0)</f>
        <v>0</v>
      </c>
      <c r="X28" s="51"/>
      <c r="Y28" s="271">
        <f>tbAllTrades[[#This Row],[Dividends (cents)]]*tbAllTrades[[#This Row],[No. of Shares]]</f>
        <v>0</v>
      </c>
      <c r="Z28" s="172" t="str">
        <f>IF(tbAllTrades[[#This Row],[Exit Price]]="","",IF(tbAllTrades[[#This Row],[Short Sold]]&lt;&gt;"",tbAllTrades[[#This Row],[Investment In]]-tbAllTrades[[#This Row],[Investment Out]]-tbAllTrades[[#This Row],[Dividend Total]]-tbAllTrades[[#This Row],[Commission]],tbAllTrades[[#This Row],[Investment Out]]-tbAllTrades[[#This Row],[Investment In]]+tbAllTrades[[#This Row],[Dividend Total]]-tbAllTrades[[#This Row],[Commission]]))</f>
        <v/>
      </c>
      <c r="AA28" s="172">
        <f>IF(tbAllTrades[[#This Row],[Strategy]]&lt;&gt;"",(SUMIFS(tbAllTrades[ROI ($) + Dividend],tbAllTrades[Exit Date],"="&amp; tbAllTrades[[#This Row],[Exit Date]],tbAllTrades[Stock],tbAllTrades[[#This Row],[Stock]],tbAllTrades[Strategy],tbAllTrades[[#This Row],[Strategy]])),(SUMIFS(tbAllTrades[ROI ($) + Dividend],tbAllTrades[Exit Date],"="&amp; tbAllTrades[[#This Row],[Exit Date]],tbAllTrades[Stock],tbAllTrades[[#This Row],[Stock]])))</f>
        <v>0</v>
      </c>
      <c r="AB28" s="172">
        <f>SUMIFS(tbAllTrades[ROI ($) + Dividend],tbAllTrades[Exit Date],"="&amp; tbAllTrades[[#This Row],[Exit Date]],tbAllTrades[Stock],tbAllTrades[[#This Row],[Stock]])</f>
        <v>0</v>
      </c>
      <c r="AC28" s="173" t="str">
        <f>IF(tbAllTrades[[#This Row],[Exit Price]]="","",(tbAllTrades[[#This Row],[ROI ($) + Dividend]]/tbAllTrades[[#This Row],[Cost Basis]]))</f>
        <v/>
      </c>
      <c r="AD28" s="170">
        <f>IFERROR((tbAllTrades[[#This Row],[Comb ROI ($) + Div by Strat]]/tbAllTrades[[#This Row],[Cost Basis Combined]]),0)</f>
        <v>0</v>
      </c>
      <c r="AE28" s="226">
        <f>tbAllTrades[[#This Row],[Investment In]]+tbAllTrades[[#This Row],[Commission]]</f>
        <v>0</v>
      </c>
      <c r="AF28" s="226">
        <f>IF(tbAllTrades[[#This Row],[Strategy]]&lt;&gt;"",
SUMIFS(tbAllTrades[Cost Basis],tbAllTrades[Exit Date],"="&amp; tbAllTrades[[#This Row],[Exit Date]],tbAllTrades[Stock],tbAllTrades[[#This Row],[Stock]],tbAllTrades[Strategy],tbAllTrades[[#This Row],[Strategy]]),
SUMIFS(tbAllTrades[Cost Basis],tbAllTrades[Exit Date],"="&amp; tbAllTrades[[#This Row],[Exit Date]],tbAllTrades[Stock],tbAllTrades[[#This Row],[Stock]]))</f>
        <v>0</v>
      </c>
      <c r="AG28" s="226" t="str">
        <f>IFERROR(tbAllTrades[[#This Row],[Cost Basis Combined]]/(_xlfn.XLOOKUP(tbAllTrades[[#This Row],[Cur]],tbExchangeRate[Currency],tbExchangeRate[Exchange Rate],,0,1)),"No Cur")</f>
        <v>No Cur</v>
      </c>
      <c r="AH28" s="170" t="str">
        <f>IFERROR(IF(tbAllTrades[[#This Row],[Exit Price]]="","",(tbAllTrades[[#This Row],[ROI (%) + Dividend]]*(365/tbAllTrades[[#This Row],[Days]]))),0)</f>
        <v/>
      </c>
      <c r="AI28" s="174">
        <f ca="1">IF(tbAllTrades[[#This Row],[Exit Date]]&lt;&gt;"",tbAllTrades[[#This Row],[Exit Date]]-tbAllTrades[[#This Row],[Entry Date]],IF(TodaysDate-tbAllTrades[[#This Row],[Entry Date]]&gt;40000,0,TodaysDate-tbAllTrades[[#This Row],[Entry Date]]))</f>
        <v>0</v>
      </c>
      <c r="AJ28" s="14"/>
      <c r="AK28" s="175"/>
    </row>
    <row r="29" spans="1:37">
      <c r="A29" s="6"/>
      <c r="B29" s="161"/>
      <c r="C29" s="161"/>
      <c r="D29" s="5"/>
      <c r="E29" s="5"/>
      <c r="F29" s="5"/>
      <c r="G29" s="161"/>
      <c r="H29" s="49"/>
      <c r="I29" s="50"/>
      <c r="J29" s="129"/>
      <c r="K29" s="169">
        <f>tbAllTrades[[#This Row],[Entry Price]]*tbAllTrades[[#This Row],[No. of Shares]]</f>
        <v>0</v>
      </c>
      <c r="L29" s="52"/>
      <c r="M29" s="170">
        <f>IF(tbAllTrades[[#This Row],[Strategy]]&lt;&gt;"",
SUMIFS(tbAllTrades[Position Size],tbAllTrades[Exit Date],"="&amp; tbAllTrades[[#This Row],[Exit Date]],tbAllTrades[Stock],tbAllTrades[[#This Row],[Stock]],tbAllTrades[Strategy],tbAllTrades[[#This Row],[Strategy]]),
SUMIFS(tbAllTrades[Position Size],tbAllTrades[Exit Date],"="&amp; tbAllTrades[[#This Row],[Exit Date]],tbAllTrades[Stock],tbAllTrades[[#This Row],[Stock]]))</f>
        <v>0</v>
      </c>
      <c r="N29" s="170" t="str">
        <f>IFERROR(tbAllTrades[[#This Row],[Cost Basis Com in Base Curr]]/Portfolio_Balance,"No Cur")</f>
        <v>No Cur</v>
      </c>
      <c r="O29" s="221"/>
      <c r="P29" s="51"/>
      <c r="Q29" s="169">
        <f>tbAllTrades[[#This Row],[Exit Price]]*tbAllTrades[[#This Row],[No. of Shares]]</f>
        <v>0</v>
      </c>
      <c r="R29" s="116"/>
      <c r="S29" s="50"/>
      <c r="T29" s="171" t="str">
        <f>IF(tbAllTrades[[#This Row],[Exit Price]]="","",IF(tbAllTrades[[#This Row],[Short Sold]]&lt;&gt;"",tbAllTrades[[#This Row],[Cost Basis]]-tbAllTrades[[#This Row],[Investment Out]],tbAllTrades[[#This Row],[Investment Out]]-tbAllTrades[[#This Row],[Cost Basis]]))</f>
        <v/>
      </c>
      <c r="U29" s="171">
        <f>IF(tbAllTrades[[#This Row],[Strategy]]&lt;&gt;"",
(SUMIFS(tbAllTrades[ROI ($)],tbAllTrades[Exit Date],"="&amp; tbAllTrades[[#This Row],[Exit Date]],tbAllTrades[Stock],tbAllTrades[[#This Row],[Stock]],tbAllTrades[Strategy],tbAllTrades[[#This Row],[Strategy]])),
(SUMIFS(tbAllTrades[ROI ($)],tbAllTrades[Exit Date],"="&amp; tbAllTrades[[#This Row],[Exit Date]],tbAllTrades[Stock],tbAllTrades[[#This Row],[Stock]])))</f>
        <v>0</v>
      </c>
      <c r="V29" s="170" t="str">
        <f>IF(tbAllTrades[[#This Row],[Exit Price]]="","",(tbAllTrades[[#This Row],[ROI ($)]]/tbAllTrades[[#This Row],[Cost Basis]]))</f>
        <v/>
      </c>
      <c r="W29" s="170">
        <f>IFERROR((tbAllTrades[[#This Row],[Combined ROI ($)]]/tbAllTrades[[#This Row],[Cost Basis Combined]]),0)</f>
        <v>0</v>
      </c>
      <c r="X29" s="51"/>
      <c r="Y29" s="271">
        <f>tbAllTrades[[#This Row],[Dividends (cents)]]*tbAllTrades[[#This Row],[No. of Shares]]</f>
        <v>0</v>
      </c>
      <c r="Z29" s="172" t="str">
        <f>IF(tbAllTrades[[#This Row],[Exit Price]]="","",IF(tbAllTrades[[#This Row],[Short Sold]]&lt;&gt;"",tbAllTrades[[#This Row],[Investment In]]-tbAllTrades[[#This Row],[Investment Out]]-tbAllTrades[[#This Row],[Dividend Total]]-tbAllTrades[[#This Row],[Commission]],tbAllTrades[[#This Row],[Investment Out]]-tbAllTrades[[#This Row],[Investment In]]+tbAllTrades[[#This Row],[Dividend Total]]-tbAllTrades[[#This Row],[Commission]]))</f>
        <v/>
      </c>
      <c r="AA29" s="172">
        <f>IF(tbAllTrades[[#This Row],[Strategy]]&lt;&gt;"",(SUMIFS(tbAllTrades[ROI ($) + Dividend],tbAllTrades[Exit Date],"="&amp; tbAllTrades[[#This Row],[Exit Date]],tbAllTrades[Stock],tbAllTrades[[#This Row],[Stock]],tbAllTrades[Strategy],tbAllTrades[[#This Row],[Strategy]])),(SUMIFS(tbAllTrades[ROI ($) + Dividend],tbAllTrades[Exit Date],"="&amp; tbAllTrades[[#This Row],[Exit Date]],tbAllTrades[Stock],tbAllTrades[[#This Row],[Stock]])))</f>
        <v>0</v>
      </c>
      <c r="AB29" s="172">
        <f>SUMIFS(tbAllTrades[ROI ($) + Dividend],tbAllTrades[Exit Date],"="&amp; tbAllTrades[[#This Row],[Exit Date]],tbAllTrades[Stock],tbAllTrades[[#This Row],[Stock]])</f>
        <v>0</v>
      </c>
      <c r="AC29" s="173" t="str">
        <f>IF(tbAllTrades[[#This Row],[Exit Price]]="","",(tbAllTrades[[#This Row],[ROI ($) + Dividend]]/tbAllTrades[[#This Row],[Cost Basis]]))</f>
        <v/>
      </c>
      <c r="AD29" s="170">
        <f>IFERROR((tbAllTrades[[#This Row],[Comb ROI ($) + Div by Strat]]/tbAllTrades[[#This Row],[Cost Basis Combined]]),0)</f>
        <v>0</v>
      </c>
      <c r="AE29" s="226">
        <f>tbAllTrades[[#This Row],[Investment In]]+tbAllTrades[[#This Row],[Commission]]</f>
        <v>0</v>
      </c>
      <c r="AF29" s="226">
        <f>IF(tbAllTrades[[#This Row],[Strategy]]&lt;&gt;"",
SUMIFS(tbAllTrades[Cost Basis],tbAllTrades[Exit Date],"="&amp; tbAllTrades[[#This Row],[Exit Date]],tbAllTrades[Stock],tbAllTrades[[#This Row],[Stock]],tbAllTrades[Strategy],tbAllTrades[[#This Row],[Strategy]]),
SUMIFS(tbAllTrades[Cost Basis],tbAllTrades[Exit Date],"="&amp; tbAllTrades[[#This Row],[Exit Date]],tbAllTrades[Stock],tbAllTrades[[#This Row],[Stock]]))</f>
        <v>0</v>
      </c>
      <c r="AG29" s="226" t="str">
        <f>IFERROR(tbAllTrades[[#This Row],[Cost Basis Combined]]/(_xlfn.XLOOKUP(tbAllTrades[[#This Row],[Cur]],tbExchangeRate[Currency],tbExchangeRate[Exchange Rate],,0,1)),"No Cur")</f>
        <v>No Cur</v>
      </c>
      <c r="AH29" s="170" t="str">
        <f>IFERROR(IF(tbAllTrades[[#This Row],[Exit Price]]="","",(tbAllTrades[[#This Row],[ROI (%) + Dividend]]*(365/tbAllTrades[[#This Row],[Days]]))),0)</f>
        <v/>
      </c>
      <c r="AI29" s="174">
        <f ca="1">IF(tbAllTrades[[#This Row],[Exit Date]]&lt;&gt;"",tbAllTrades[[#This Row],[Exit Date]]-tbAllTrades[[#This Row],[Entry Date]],IF(TodaysDate-tbAllTrades[[#This Row],[Entry Date]]&gt;40000,0,TodaysDate-tbAllTrades[[#This Row],[Entry Date]]))</f>
        <v>0</v>
      </c>
      <c r="AJ29" s="14"/>
      <c r="AK29" s="175"/>
    </row>
    <row r="30" spans="1:37">
      <c r="A30" s="6"/>
      <c r="B30" s="161"/>
      <c r="C30" s="161"/>
      <c r="D30" s="5"/>
      <c r="E30" s="5"/>
      <c r="F30" s="5"/>
      <c r="G30" s="161"/>
      <c r="H30" s="49"/>
      <c r="I30" s="50"/>
      <c r="J30" s="129"/>
      <c r="K30" s="169">
        <f>tbAllTrades[[#This Row],[Entry Price]]*tbAllTrades[[#This Row],[No. of Shares]]</f>
        <v>0</v>
      </c>
      <c r="L30" s="52"/>
      <c r="M30" s="170">
        <f>IF(tbAllTrades[[#This Row],[Strategy]]&lt;&gt;"",
SUMIFS(tbAllTrades[Position Size],tbAllTrades[Exit Date],"="&amp; tbAllTrades[[#This Row],[Exit Date]],tbAllTrades[Stock],tbAllTrades[[#This Row],[Stock]],tbAllTrades[Strategy],tbAllTrades[[#This Row],[Strategy]]),
SUMIFS(tbAllTrades[Position Size],tbAllTrades[Exit Date],"="&amp; tbAllTrades[[#This Row],[Exit Date]],tbAllTrades[Stock],tbAllTrades[[#This Row],[Stock]]))</f>
        <v>0</v>
      </c>
      <c r="N30" s="170" t="str">
        <f>IFERROR(tbAllTrades[[#This Row],[Cost Basis Com in Base Curr]]/Portfolio_Balance,"No Cur")</f>
        <v>No Cur</v>
      </c>
      <c r="O30" s="221"/>
      <c r="P30" s="51"/>
      <c r="Q30" s="169">
        <f>tbAllTrades[[#This Row],[Exit Price]]*tbAllTrades[[#This Row],[No. of Shares]]</f>
        <v>0</v>
      </c>
      <c r="R30" s="116"/>
      <c r="S30" s="50"/>
      <c r="T30" s="171" t="str">
        <f>IF(tbAllTrades[[#This Row],[Exit Price]]="","",IF(tbAllTrades[[#This Row],[Short Sold]]&lt;&gt;"",tbAllTrades[[#This Row],[Cost Basis]]-tbAllTrades[[#This Row],[Investment Out]],tbAllTrades[[#This Row],[Investment Out]]-tbAllTrades[[#This Row],[Cost Basis]]))</f>
        <v/>
      </c>
      <c r="U30" s="171">
        <f>IF(tbAllTrades[[#This Row],[Strategy]]&lt;&gt;"",
(SUMIFS(tbAllTrades[ROI ($)],tbAllTrades[Exit Date],"="&amp; tbAllTrades[[#This Row],[Exit Date]],tbAllTrades[Stock],tbAllTrades[[#This Row],[Stock]],tbAllTrades[Strategy],tbAllTrades[[#This Row],[Strategy]])),
(SUMIFS(tbAllTrades[ROI ($)],tbAllTrades[Exit Date],"="&amp; tbAllTrades[[#This Row],[Exit Date]],tbAllTrades[Stock],tbAllTrades[[#This Row],[Stock]])))</f>
        <v>0</v>
      </c>
      <c r="V30" s="170" t="str">
        <f>IF(tbAllTrades[[#This Row],[Exit Price]]="","",(tbAllTrades[[#This Row],[ROI ($)]]/tbAllTrades[[#This Row],[Cost Basis]]))</f>
        <v/>
      </c>
      <c r="W30" s="170">
        <f>IFERROR((tbAllTrades[[#This Row],[Combined ROI ($)]]/tbAllTrades[[#This Row],[Cost Basis Combined]]),0)</f>
        <v>0</v>
      </c>
      <c r="X30" s="51"/>
      <c r="Y30" s="271">
        <f>tbAllTrades[[#This Row],[Dividends (cents)]]*tbAllTrades[[#This Row],[No. of Shares]]</f>
        <v>0</v>
      </c>
      <c r="Z30" s="172" t="str">
        <f>IF(tbAllTrades[[#This Row],[Exit Price]]="","",IF(tbAllTrades[[#This Row],[Short Sold]]&lt;&gt;"",tbAllTrades[[#This Row],[Investment In]]-tbAllTrades[[#This Row],[Investment Out]]-tbAllTrades[[#This Row],[Dividend Total]]-tbAllTrades[[#This Row],[Commission]],tbAllTrades[[#This Row],[Investment Out]]-tbAllTrades[[#This Row],[Investment In]]+tbAllTrades[[#This Row],[Dividend Total]]-tbAllTrades[[#This Row],[Commission]]))</f>
        <v/>
      </c>
      <c r="AA30" s="172">
        <f>IF(tbAllTrades[[#This Row],[Strategy]]&lt;&gt;"",(SUMIFS(tbAllTrades[ROI ($) + Dividend],tbAllTrades[Exit Date],"="&amp; tbAllTrades[[#This Row],[Exit Date]],tbAllTrades[Stock],tbAllTrades[[#This Row],[Stock]],tbAllTrades[Strategy],tbAllTrades[[#This Row],[Strategy]])),(SUMIFS(tbAllTrades[ROI ($) + Dividend],tbAllTrades[Exit Date],"="&amp; tbAllTrades[[#This Row],[Exit Date]],tbAllTrades[Stock],tbAllTrades[[#This Row],[Stock]])))</f>
        <v>0</v>
      </c>
      <c r="AB30" s="172">
        <f>SUMIFS(tbAllTrades[ROI ($) + Dividend],tbAllTrades[Exit Date],"="&amp; tbAllTrades[[#This Row],[Exit Date]],tbAllTrades[Stock],tbAllTrades[[#This Row],[Stock]])</f>
        <v>0</v>
      </c>
      <c r="AC30" s="173" t="str">
        <f>IF(tbAllTrades[[#This Row],[Exit Price]]="","",(tbAllTrades[[#This Row],[ROI ($) + Dividend]]/tbAllTrades[[#This Row],[Cost Basis]]))</f>
        <v/>
      </c>
      <c r="AD30" s="170">
        <f>IFERROR((tbAllTrades[[#This Row],[Comb ROI ($) + Div by Strat]]/tbAllTrades[[#This Row],[Cost Basis Combined]]),0)</f>
        <v>0</v>
      </c>
      <c r="AE30" s="226">
        <f>tbAllTrades[[#This Row],[Investment In]]+tbAllTrades[[#This Row],[Commission]]</f>
        <v>0</v>
      </c>
      <c r="AF30" s="226">
        <f>IF(tbAllTrades[[#This Row],[Strategy]]&lt;&gt;"",
SUMIFS(tbAllTrades[Cost Basis],tbAllTrades[Exit Date],"="&amp; tbAllTrades[[#This Row],[Exit Date]],tbAllTrades[Stock],tbAllTrades[[#This Row],[Stock]],tbAllTrades[Strategy],tbAllTrades[[#This Row],[Strategy]]),
SUMIFS(tbAllTrades[Cost Basis],tbAllTrades[Exit Date],"="&amp; tbAllTrades[[#This Row],[Exit Date]],tbAllTrades[Stock],tbAllTrades[[#This Row],[Stock]]))</f>
        <v>0</v>
      </c>
      <c r="AG30" s="226" t="str">
        <f>IFERROR(tbAllTrades[[#This Row],[Cost Basis Combined]]/(_xlfn.XLOOKUP(tbAllTrades[[#This Row],[Cur]],tbExchangeRate[Currency],tbExchangeRate[Exchange Rate],,0,1)),"No Cur")</f>
        <v>No Cur</v>
      </c>
      <c r="AH30" s="170" t="str">
        <f>IFERROR(IF(tbAllTrades[[#This Row],[Exit Price]]="","",(tbAllTrades[[#This Row],[ROI (%) + Dividend]]*(365/tbAllTrades[[#This Row],[Days]]))),0)</f>
        <v/>
      </c>
      <c r="AI30" s="174">
        <f ca="1">IF(tbAllTrades[[#This Row],[Exit Date]]&lt;&gt;"",tbAllTrades[[#This Row],[Exit Date]]-tbAllTrades[[#This Row],[Entry Date]],IF(TodaysDate-tbAllTrades[[#This Row],[Entry Date]]&gt;40000,0,TodaysDate-tbAllTrades[[#This Row],[Entry Date]]))</f>
        <v>0</v>
      </c>
      <c r="AJ30" s="14"/>
      <c r="AK30" s="175"/>
    </row>
    <row r="31" spans="1:37">
      <c r="A31" s="6"/>
      <c r="B31" s="161"/>
      <c r="C31" s="161"/>
      <c r="D31" s="5"/>
      <c r="E31" s="5"/>
      <c r="F31" s="5"/>
      <c r="G31" s="161"/>
      <c r="H31" s="49"/>
      <c r="I31" s="50"/>
      <c r="J31" s="129"/>
      <c r="K31" s="169">
        <f>tbAllTrades[[#This Row],[Entry Price]]*tbAllTrades[[#This Row],[No. of Shares]]</f>
        <v>0</v>
      </c>
      <c r="L31" s="52"/>
      <c r="M31" s="170">
        <f>IF(tbAllTrades[[#This Row],[Strategy]]&lt;&gt;"",
SUMIFS(tbAllTrades[Position Size],tbAllTrades[Exit Date],"="&amp; tbAllTrades[[#This Row],[Exit Date]],tbAllTrades[Stock],tbAllTrades[[#This Row],[Stock]],tbAllTrades[Strategy],tbAllTrades[[#This Row],[Strategy]]),
SUMIFS(tbAllTrades[Position Size],tbAllTrades[Exit Date],"="&amp; tbAllTrades[[#This Row],[Exit Date]],tbAllTrades[Stock],tbAllTrades[[#This Row],[Stock]]))</f>
        <v>0</v>
      </c>
      <c r="N31" s="170" t="str">
        <f>IFERROR(tbAllTrades[[#This Row],[Cost Basis Com in Base Curr]]/Portfolio_Balance,"No Cur")</f>
        <v>No Cur</v>
      </c>
      <c r="O31" s="221"/>
      <c r="P31" s="51"/>
      <c r="Q31" s="169">
        <f>tbAllTrades[[#This Row],[Exit Price]]*tbAllTrades[[#This Row],[No. of Shares]]</f>
        <v>0</v>
      </c>
      <c r="R31" s="116"/>
      <c r="S31" s="50"/>
      <c r="T31" s="171" t="str">
        <f>IF(tbAllTrades[[#This Row],[Exit Price]]="","",IF(tbAllTrades[[#This Row],[Short Sold]]&lt;&gt;"",tbAllTrades[[#This Row],[Cost Basis]]-tbAllTrades[[#This Row],[Investment Out]],tbAllTrades[[#This Row],[Investment Out]]-tbAllTrades[[#This Row],[Cost Basis]]))</f>
        <v/>
      </c>
      <c r="U31" s="171">
        <f>IF(tbAllTrades[[#This Row],[Strategy]]&lt;&gt;"",
(SUMIFS(tbAllTrades[ROI ($)],tbAllTrades[Exit Date],"="&amp; tbAllTrades[[#This Row],[Exit Date]],tbAllTrades[Stock],tbAllTrades[[#This Row],[Stock]],tbAllTrades[Strategy],tbAllTrades[[#This Row],[Strategy]])),
(SUMIFS(tbAllTrades[ROI ($)],tbAllTrades[Exit Date],"="&amp; tbAllTrades[[#This Row],[Exit Date]],tbAllTrades[Stock],tbAllTrades[[#This Row],[Stock]])))</f>
        <v>0</v>
      </c>
      <c r="V31" s="170" t="str">
        <f>IF(tbAllTrades[[#This Row],[Exit Price]]="","",(tbAllTrades[[#This Row],[ROI ($)]]/tbAllTrades[[#This Row],[Cost Basis]]))</f>
        <v/>
      </c>
      <c r="W31" s="170">
        <f>IFERROR((tbAllTrades[[#This Row],[Combined ROI ($)]]/tbAllTrades[[#This Row],[Cost Basis Combined]]),0)</f>
        <v>0</v>
      </c>
      <c r="X31" s="51"/>
      <c r="Y31" s="271">
        <f>tbAllTrades[[#This Row],[Dividends (cents)]]*tbAllTrades[[#This Row],[No. of Shares]]</f>
        <v>0</v>
      </c>
      <c r="Z31" s="172" t="str">
        <f>IF(tbAllTrades[[#This Row],[Exit Price]]="","",IF(tbAllTrades[[#This Row],[Short Sold]]&lt;&gt;"",tbAllTrades[[#This Row],[Investment In]]-tbAllTrades[[#This Row],[Investment Out]]-tbAllTrades[[#This Row],[Dividend Total]]-tbAllTrades[[#This Row],[Commission]],tbAllTrades[[#This Row],[Investment Out]]-tbAllTrades[[#This Row],[Investment In]]+tbAllTrades[[#This Row],[Dividend Total]]-tbAllTrades[[#This Row],[Commission]]))</f>
        <v/>
      </c>
      <c r="AA31" s="172">
        <f>IF(tbAllTrades[[#This Row],[Strategy]]&lt;&gt;"",(SUMIFS(tbAllTrades[ROI ($) + Dividend],tbAllTrades[Exit Date],"="&amp; tbAllTrades[[#This Row],[Exit Date]],tbAllTrades[Stock],tbAllTrades[[#This Row],[Stock]],tbAllTrades[Strategy],tbAllTrades[[#This Row],[Strategy]])),(SUMIFS(tbAllTrades[ROI ($) + Dividend],tbAllTrades[Exit Date],"="&amp; tbAllTrades[[#This Row],[Exit Date]],tbAllTrades[Stock],tbAllTrades[[#This Row],[Stock]])))</f>
        <v>0</v>
      </c>
      <c r="AB31" s="172">
        <f>SUMIFS(tbAllTrades[ROI ($) + Dividend],tbAllTrades[Exit Date],"="&amp; tbAllTrades[[#This Row],[Exit Date]],tbAllTrades[Stock],tbAllTrades[[#This Row],[Stock]])</f>
        <v>0</v>
      </c>
      <c r="AC31" s="173" t="str">
        <f>IF(tbAllTrades[[#This Row],[Exit Price]]="","",(tbAllTrades[[#This Row],[ROI ($) + Dividend]]/tbAllTrades[[#This Row],[Cost Basis]]))</f>
        <v/>
      </c>
      <c r="AD31" s="170">
        <f>IFERROR((tbAllTrades[[#This Row],[Comb ROI ($) + Div by Strat]]/tbAllTrades[[#This Row],[Cost Basis Combined]]),0)</f>
        <v>0</v>
      </c>
      <c r="AE31" s="226">
        <f>tbAllTrades[[#This Row],[Investment In]]+tbAllTrades[[#This Row],[Commission]]</f>
        <v>0</v>
      </c>
      <c r="AF31" s="226">
        <f>IF(tbAllTrades[[#This Row],[Strategy]]&lt;&gt;"",
SUMIFS(tbAllTrades[Cost Basis],tbAllTrades[Exit Date],"="&amp; tbAllTrades[[#This Row],[Exit Date]],tbAllTrades[Stock],tbAllTrades[[#This Row],[Stock]],tbAllTrades[Strategy],tbAllTrades[[#This Row],[Strategy]]),
SUMIFS(tbAllTrades[Cost Basis],tbAllTrades[Exit Date],"="&amp; tbAllTrades[[#This Row],[Exit Date]],tbAllTrades[Stock],tbAllTrades[[#This Row],[Stock]]))</f>
        <v>0</v>
      </c>
      <c r="AG31" s="226" t="str">
        <f>IFERROR(tbAllTrades[[#This Row],[Cost Basis Combined]]/(_xlfn.XLOOKUP(tbAllTrades[[#This Row],[Cur]],tbExchangeRate[Currency],tbExchangeRate[Exchange Rate],,0,1)),"No Cur")</f>
        <v>No Cur</v>
      </c>
      <c r="AH31" s="170" t="str">
        <f>IFERROR(IF(tbAllTrades[[#This Row],[Exit Price]]="","",(tbAllTrades[[#This Row],[ROI (%) + Dividend]]*(365/tbAllTrades[[#This Row],[Days]]))),0)</f>
        <v/>
      </c>
      <c r="AI31" s="174">
        <f ca="1">IF(tbAllTrades[[#This Row],[Exit Date]]&lt;&gt;"",tbAllTrades[[#This Row],[Exit Date]]-tbAllTrades[[#This Row],[Entry Date]],IF(TodaysDate-tbAllTrades[[#This Row],[Entry Date]]&gt;40000,0,TodaysDate-tbAllTrades[[#This Row],[Entry Date]]))</f>
        <v>0</v>
      </c>
      <c r="AJ31" s="14"/>
      <c r="AK31" s="175"/>
    </row>
  </sheetData>
  <sheetProtection algorithmName="SHA-512" hashValue="VBFRiOIJRBfFFUCvVDA1M8Y41ukYZw5rxvXstnIHwKyi8jomgadCPxfgi+HPG3Nkie+pOQgSKJ7+HcvRYMCXAA==" saltValue="ODBw0ugxVns5mch3UDc9Zg==" spinCount="100000" sheet="1" objects="1" scenarios="1" formatCells="0" formatColumns="0" formatRows="0" insertColumns="0" deleteColumns="0" sort="0" autoFilter="0"/>
  <phoneticPr fontId="45" type="noConversion"/>
  <conditionalFormatting sqref="P9:P31">
    <cfRule type="expression" dxfId="44" priority="1">
      <formula>_xlfn.ISFORMULA(P9)</formula>
    </cfRule>
  </conditionalFormatting>
  <dataValidations count="2">
    <dataValidation type="list" errorStyle="information" allowBlank="1" showInputMessage="1" showErrorMessage="1" errorTitle="Short Sold Options" error="Longs - Blank_x000a_Shorts - Y_x000a_FX shorted - F" sqref="R9:R31" xr:uid="{6B4FCEC8-BFB9-4634-BB1C-A311E63CB780}">
      <formula1>"Y,F"</formula1>
    </dataValidation>
    <dataValidation type="list" allowBlank="1" showInputMessage="1" showErrorMessage="1" sqref="A9:A31" xr:uid="{7909F7A1-8029-4BE1-820D-093631CD3551}">
      <formula1>"Open,Closed"</formula1>
    </dataValidation>
  </dataValidations>
  <pageMargins left="0.25" right="0.25" top="0.75" bottom="0.75" header="0.3" footer="0.3"/>
  <pageSetup fitToHeight="0" orientation="landscape" r:id="rId1"/>
  <headerFooter>
    <oddFooter>&amp;R&amp;9&amp;"Calibri"Trading Diary&amp;L&amp;9&amp;"Calibri"Copyright © Effective Trading Solutions Pty Ltd, all rights reserved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45" r:id="rId4" name="Button 13">
              <controlPr defaultSize="0" autoFill="0" autoPict="0" macro="[0]!TodaysEntrys" altText="">
                <anchor>
                  <from>
                    <xdr:col>5</xdr:col>
                    <xdr:colOff>812800</xdr:colOff>
                    <xdr:row>1</xdr:row>
                    <xdr:rowOff>114300</xdr:rowOff>
                  </from>
                  <to>
                    <xdr:col>5</xdr:col>
                    <xdr:colOff>1282700</xdr:colOff>
                    <xdr:row>1</xdr:row>
                    <xdr:rowOff>279400</xdr:rowOff>
                  </to>
                </anchor>
              </controlPr>
            </control>
          </mc:Choice>
        </mc:AlternateContent>
        <mc:AlternateContent xmlns:mc="http://schemas.openxmlformats.org/markup-compatibility/2006">
          <mc:Choice Requires="x14">
            <control shapeId="18446" r:id="rId5" name="Button 14">
              <controlPr defaultSize="0" autoFill="0" autoPict="0" macro="[0]!ThisMonthsEntrys" altText="This Month">
                <anchor>
                  <from>
                    <xdr:col>5</xdr:col>
                    <xdr:colOff>1295400</xdr:colOff>
                    <xdr:row>1</xdr:row>
                    <xdr:rowOff>114300</xdr:rowOff>
                  </from>
                  <to>
                    <xdr:col>7</xdr:col>
                    <xdr:colOff>101600</xdr:colOff>
                    <xdr:row>1</xdr:row>
                    <xdr:rowOff>279400</xdr:rowOff>
                  </to>
                </anchor>
              </controlPr>
            </control>
          </mc:Choice>
        </mc:AlternateContent>
        <mc:AlternateContent xmlns:mc="http://schemas.openxmlformats.org/markup-compatibility/2006">
          <mc:Choice Requires="x14">
            <control shapeId="18447" r:id="rId6" name="Button 15">
              <controlPr defaultSize="0" autoFill="0" autoPict="0" macro="[0]!LastMonthsEntrys" altText="Last Month">
                <anchor>
                  <from>
                    <xdr:col>7</xdr:col>
                    <xdr:colOff>101600</xdr:colOff>
                    <xdr:row>1</xdr:row>
                    <xdr:rowOff>114300</xdr:rowOff>
                  </from>
                  <to>
                    <xdr:col>8</xdr:col>
                    <xdr:colOff>114300</xdr:colOff>
                    <xdr:row>1</xdr:row>
                    <xdr:rowOff>279400</xdr:rowOff>
                  </to>
                </anchor>
              </controlPr>
            </control>
          </mc:Choice>
        </mc:AlternateContent>
        <mc:AlternateContent xmlns:mc="http://schemas.openxmlformats.org/markup-compatibility/2006">
          <mc:Choice Requires="x14">
            <control shapeId="18451" r:id="rId7" name="Button 19">
              <controlPr defaultSize="0" print="0" autoFill="0" autoPict="0" macro="[0]!ForeignExchangeFilter" altText="FX">
                <anchor>
                  <from>
                    <xdr:col>5</xdr:col>
                    <xdr:colOff>190500</xdr:colOff>
                    <xdr:row>1</xdr:row>
                    <xdr:rowOff>114300</xdr:rowOff>
                  </from>
                  <to>
                    <xdr:col>5</xdr:col>
                    <xdr:colOff>431800</xdr:colOff>
                    <xdr:row>1</xdr:row>
                    <xdr:rowOff>279400</xdr:rowOff>
                  </to>
                </anchor>
              </controlPr>
            </control>
          </mc:Choice>
        </mc:AlternateContent>
        <mc:AlternateContent xmlns:mc="http://schemas.openxmlformats.org/markup-compatibility/2006">
          <mc:Choice Requires="x14">
            <control shapeId="18452" r:id="rId8" name="Button 20">
              <controlPr defaultSize="0" print="0" autoFill="0" autoPict="0" macro="[0]!ShortsFilter" altText="Short">
                <anchor>
                  <from>
                    <xdr:col>4</xdr:col>
                    <xdr:colOff>520700</xdr:colOff>
                    <xdr:row>1</xdr:row>
                    <xdr:rowOff>114300</xdr:rowOff>
                  </from>
                  <to>
                    <xdr:col>5</xdr:col>
                    <xdr:colOff>177800</xdr:colOff>
                    <xdr:row>1</xdr:row>
                    <xdr:rowOff>279400</xdr:rowOff>
                  </to>
                </anchor>
              </controlPr>
            </control>
          </mc:Choice>
        </mc:AlternateContent>
        <mc:AlternateContent xmlns:mc="http://schemas.openxmlformats.org/markup-compatibility/2006">
          <mc:Choice Requires="x14">
            <control shapeId="18453" r:id="rId9" name="Button 21">
              <controlPr defaultSize="0" print="0" autoFill="0" autoPict="0" macro="[0]!LongsFilter" altText="Long">
                <anchor>
                  <from>
                    <xdr:col>4</xdr:col>
                    <xdr:colOff>101600</xdr:colOff>
                    <xdr:row>1</xdr:row>
                    <xdr:rowOff>114300</xdr:rowOff>
                  </from>
                  <to>
                    <xdr:col>4</xdr:col>
                    <xdr:colOff>520700</xdr:colOff>
                    <xdr:row>1</xdr:row>
                    <xdr:rowOff>279400</xdr:rowOff>
                  </to>
                </anchor>
              </controlPr>
            </control>
          </mc:Choice>
        </mc:AlternateContent>
        <mc:AlternateContent xmlns:mc="http://schemas.openxmlformats.org/markup-compatibility/2006">
          <mc:Choice Requires="x14">
            <control shapeId="18454" r:id="rId10" name="Button 22">
              <controlPr defaultSize="0" print="0" autoFill="0" autoPict="0" macro="[0]!Reorder" altText="Reorder">
                <anchor>
                  <from>
                    <xdr:col>3</xdr:col>
                    <xdr:colOff>1447800</xdr:colOff>
                    <xdr:row>1</xdr:row>
                    <xdr:rowOff>114300</xdr:rowOff>
                  </from>
                  <to>
                    <xdr:col>4</xdr:col>
                    <xdr:colOff>88900</xdr:colOff>
                    <xdr:row>1</xdr:row>
                    <xdr:rowOff>279400</xdr:rowOff>
                  </to>
                </anchor>
              </controlPr>
            </control>
          </mc:Choice>
        </mc:AlternateContent>
        <mc:AlternateContent xmlns:mc="http://schemas.openxmlformats.org/markup-compatibility/2006">
          <mc:Choice Requires="x14">
            <control shapeId="18499" r:id="rId11" name="Button 67">
              <controlPr locked="0" defaultSize="0" autoFill="0" autoPict="0" macro="[0]!CurrencyUSD" altText="Reorder">
                <anchor moveWithCells="1">
                  <from>
                    <xdr:col>2</xdr:col>
                    <xdr:colOff>88900</xdr:colOff>
                    <xdr:row>5</xdr:row>
                    <xdr:rowOff>38100</xdr:rowOff>
                  </from>
                  <to>
                    <xdr:col>2</xdr:col>
                    <xdr:colOff>368300</xdr:colOff>
                    <xdr:row>5</xdr:row>
                    <xdr:rowOff>190500</xdr:rowOff>
                  </to>
                </anchor>
              </controlPr>
            </control>
          </mc:Choice>
        </mc:AlternateContent>
        <mc:AlternateContent xmlns:mc="http://schemas.openxmlformats.org/markup-compatibility/2006">
          <mc:Choice Requires="x14">
            <control shapeId="18500" r:id="rId12" name="Button 68">
              <controlPr locked="0" defaultSize="0" autoFill="0" autoPict="0" macro="[0]!CurrencyBase" altText="Reorder">
                <anchor moveWithCells="1">
                  <from>
                    <xdr:col>2</xdr:col>
                    <xdr:colOff>88900</xdr:colOff>
                    <xdr:row>1</xdr:row>
                    <xdr:rowOff>317500</xdr:rowOff>
                  </from>
                  <to>
                    <xdr:col>2</xdr:col>
                    <xdr:colOff>368300</xdr:colOff>
                    <xdr:row>5</xdr:row>
                    <xdr:rowOff>38100</xdr:rowOff>
                  </to>
                </anchor>
              </controlPr>
            </control>
          </mc:Choice>
        </mc:AlternateContent>
        <mc:AlternateContent xmlns:mc="http://schemas.openxmlformats.org/markup-compatibility/2006">
          <mc:Choice Requires="x14">
            <control shapeId="18505" r:id="rId13" name="Button 73">
              <controlPr defaultSize="0" print="0" autoFill="0" autoPict="0" macro="[0]!Add_10_Rows" altText="">
                <anchor>
                  <from>
                    <xdr:col>11</xdr:col>
                    <xdr:colOff>393700</xdr:colOff>
                    <xdr:row>1</xdr:row>
                    <xdr:rowOff>254000</xdr:rowOff>
                  </from>
                  <to>
                    <xdr:col>12</xdr:col>
                    <xdr:colOff>546100</xdr:colOff>
                    <xdr:row>1</xdr:row>
                    <xdr:rowOff>381000</xdr:rowOff>
                  </to>
                </anchor>
              </controlPr>
            </control>
          </mc:Choice>
        </mc:AlternateContent>
        <mc:AlternateContent xmlns:mc="http://schemas.openxmlformats.org/markup-compatibility/2006">
          <mc:Choice Requires="x14">
            <control shapeId="18506" r:id="rId14" name="Button 74">
              <controlPr defaultSize="0" print="0" autoFill="0" autoPict="0" macro="[0]!Delete_Row" altText="">
                <anchor>
                  <from>
                    <xdr:col>11</xdr:col>
                    <xdr:colOff>393700</xdr:colOff>
                    <xdr:row>1</xdr:row>
                    <xdr:rowOff>25400</xdr:rowOff>
                  </from>
                  <to>
                    <xdr:col>12</xdr:col>
                    <xdr:colOff>546100</xdr:colOff>
                    <xdr:row>1</xdr:row>
                    <xdr:rowOff>177800</xdr:rowOff>
                  </to>
                </anchor>
              </controlPr>
            </control>
          </mc:Choice>
        </mc:AlternateContent>
        <mc:AlternateContent xmlns:mc="http://schemas.openxmlformats.org/markup-compatibility/2006">
          <mc:Choice Requires="x14">
            <control shapeId="18516" r:id="rId15" name="Button 84">
              <controlPr defaultSize="0" autoFill="0" autoPict="0" macro="[0]!TodaysExits" altText="">
                <anchor>
                  <from>
                    <xdr:col>8</xdr:col>
                    <xdr:colOff>342900</xdr:colOff>
                    <xdr:row>1</xdr:row>
                    <xdr:rowOff>114300</xdr:rowOff>
                  </from>
                  <to>
                    <xdr:col>9</xdr:col>
                    <xdr:colOff>12700</xdr:colOff>
                    <xdr:row>1</xdr:row>
                    <xdr:rowOff>279400</xdr:rowOff>
                  </to>
                </anchor>
              </controlPr>
            </control>
          </mc:Choice>
        </mc:AlternateContent>
        <mc:AlternateContent xmlns:mc="http://schemas.openxmlformats.org/markup-compatibility/2006">
          <mc:Choice Requires="x14">
            <control shapeId="18517" r:id="rId16" name="Button 85">
              <controlPr defaultSize="0" autoFill="0" autoPict="0" macro="[0]!ThisMonthsExists" altText="This Month">
                <anchor>
                  <from>
                    <xdr:col>9</xdr:col>
                    <xdr:colOff>25400</xdr:colOff>
                    <xdr:row>1</xdr:row>
                    <xdr:rowOff>114300</xdr:rowOff>
                  </from>
                  <to>
                    <xdr:col>10</xdr:col>
                    <xdr:colOff>152400</xdr:colOff>
                    <xdr:row>1</xdr:row>
                    <xdr:rowOff>279400</xdr:rowOff>
                  </to>
                </anchor>
              </controlPr>
            </control>
          </mc:Choice>
        </mc:AlternateContent>
        <mc:AlternateContent xmlns:mc="http://schemas.openxmlformats.org/markup-compatibility/2006">
          <mc:Choice Requires="x14">
            <control shapeId="18518" r:id="rId17" name="Button 86">
              <controlPr defaultSize="0" autoFill="0" autoPict="0" macro="[0]!LastMonthsExits" altText="Last Month">
                <anchor>
                  <from>
                    <xdr:col>10</xdr:col>
                    <xdr:colOff>165100</xdr:colOff>
                    <xdr:row>1</xdr:row>
                    <xdr:rowOff>114300</xdr:rowOff>
                  </from>
                  <to>
                    <xdr:col>11</xdr:col>
                    <xdr:colOff>63500</xdr:colOff>
                    <xdr:row>1</xdr:row>
                    <xdr:rowOff>279400</xdr:rowOff>
                  </to>
                </anchor>
              </controlPr>
            </control>
          </mc:Choice>
        </mc:AlternateContent>
      </controls>
    </mc:Choice>
  </mc:AlternateContent>
  <tableParts count="1">
    <tablePart r:id="rId18"/>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CurrentTrades">
    <pageSetUpPr autoPageBreaks="0" fitToPage="1"/>
  </sheetPr>
  <dimension ref="A1:BD37"/>
  <sheetViews>
    <sheetView showGridLines="0" topLeftCell="H1" zoomScale="150" workbookViewId="0">
      <selection activeCell="T13" sqref="T13"/>
    </sheetView>
  </sheetViews>
  <sheetFormatPr baseColWidth="10" defaultColWidth="0" defaultRowHeight="15"/>
  <cols>
    <col min="1" max="1" width="8" style="19" customWidth="1"/>
    <col min="2" max="2" width="8.6640625" style="19" customWidth="1"/>
    <col min="3" max="3" width="7" style="19" customWidth="1"/>
    <col min="4" max="6" width="10.6640625" style="19" customWidth="1"/>
    <col min="7" max="7" width="7.6640625" style="19" customWidth="1"/>
    <col min="8" max="9" width="10.6640625" style="19" customWidth="1"/>
    <col min="10" max="10" width="7.33203125" style="19" customWidth="1"/>
    <col min="11" max="11" width="10.6640625" style="19" customWidth="1"/>
    <col min="12" max="12" width="8.33203125" style="19" customWidth="1"/>
    <col min="13" max="13" width="10" style="19" customWidth="1"/>
    <col min="14" max="14" width="8.6640625" style="19" customWidth="1"/>
    <col min="15" max="16" width="10.6640625" style="19" customWidth="1"/>
    <col min="17" max="17" width="11" style="19" customWidth="1"/>
    <col min="18" max="18" width="5.6640625" style="19" customWidth="1"/>
    <col min="19" max="19" width="8.6640625" style="19" customWidth="1"/>
    <col min="20" max="24" width="10.6640625" style="19" customWidth="1"/>
    <col min="25" max="25" width="9.6640625" style="19" customWidth="1"/>
    <col min="26" max="26" width="10.6640625" style="19" customWidth="1"/>
    <col min="27" max="28" width="10.83203125" style="19" customWidth="1"/>
    <col min="29" max="29" width="10.6640625" style="19" customWidth="1"/>
    <col min="30" max="31" width="10.33203125" style="19" customWidth="1"/>
    <col min="32" max="32" width="10.6640625" style="19" customWidth="1"/>
    <col min="33" max="33" width="9.6640625" style="19" customWidth="1"/>
    <col min="34" max="34" width="7.6640625" style="19" customWidth="1"/>
    <col min="35" max="35" width="10" style="19" customWidth="1"/>
    <col min="36" max="52" width="9" style="19" customWidth="1"/>
    <col min="53" max="56" width="0" style="19" hidden="1" customWidth="1"/>
    <col min="57" max="16384" width="9" style="19" hidden="1"/>
  </cols>
  <sheetData>
    <row r="1" spans="1:37" ht="15" customHeight="1" thickBot="1">
      <c r="A1" s="25"/>
      <c r="B1" s="26"/>
      <c r="C1" s="27"/>
      <c r="D1" s="27"/>
      <c r="E1" s="27"/>
      <c r="F1" s="119"/>
      <c r="G1" s="119"/>
      <c r="H1" s="120"/>
      <c r="I1" s="20"/>
      <c r="J1" s="29"/>
      <c r="K1" s="20"/>
      <c r="L1" s="30"/>
      <c r="M1" s="22"/>
      <c r="N1" s="22"/>
      <c r="O1" s="22"/>
      <c r="P1" s="117"/>
      <c r="Q1" s="31"/>
      <c r="R1" s="31"/>
      <c r="S1" s="121"/>
      <c r="T1" s="15"/>
      <c r="U1" s="122"/>
      <c r="V1" s="32"/>
      <c r="W1" s="23"/>
      <c r="X1" s="37"/>
      <c r="Y1" s="123" t="s">
        <v>10</v>
      </c>
      <c r="Z1" s="37"/>
      <c r="AA1" s="18"/>
      <c r="AB1" s="165"/>
      <c r="AC1" s="165"/>
      <c r="AD1" s="165"/>
      <c r="AE1" s="165"/>
      <c r="AF1" s="165"/>
      <c r="AG1" s="37"/>
    </row>
    <row r="2" spans="1:37" ht="30" customHeight="1" thickBot="1">
      <c r="A2" s="283" t="s">
        <v>118</v>
      </c>
      <c r="B2" s="26"/>
      <c r="C2" s="27"/>
      <c r="D2" s="27"/>
      <c r="E2" s="27"/>
      <c r="F2" s="118"/>
      <c r="G2" s="118"/>
      <c r="H2" s="28"/>
      <c r="I2" s="20"/>
      <c r="J2" s="29"/>
      <c r="K2" s="20"/>
      <c r="L2" s="30"/>
      <c r="M2" s="22"/>
      <c r="N2" s="22"/>
      <c r="O2" s="22"/>
      <c r="P2" s="22"/>
      <c r="Q2" s="31"/>
      <c r="R2" s="31"/>
      <c r="S2" s="121"/>
      <c r="T2" s="15"/>
      <c r="U2" s="122"/>
      <c r="V2" s="32"/>
      <c r="W2" s="23"/>
      <c r="X2" s="37"/>
      <c r="Y2" s="124" t="s">
        <v>50</v>
      </c>
      <c r="Z2" s="37"/>
      <c r="AA2" s="18"/>
      <c r="AB2" s="165"/>
      <c r="AC2" s="165"/>
      <c r="AD2" s="165"/>
      <c r="AE2" s="165"/>
      <c r="AF2" s="165"/>
      <c r="AG2" s="37"/>
    </row>
    <row r="3" spans="1:37" ht="40.25" hidden="1" customHeight="1">
      <c r="A3" s="25"/>
      <c r="B3" s="26"/>
      <c r="C3" s="27"/>
      <c r="D3" s="27"/>
      <c r="E3" s="27"/>
      <c r="F3" s="27"/>
      <c r="G3" s="27"/>
      <c r="H3" s="28"/>
      <c r="I3" s="20"/>
      <c r="J3" s="29"/>
      <c r="K3" s="20"/>
      <c r="L3" s="30"/>
      <c r="M3" s="22"/>
      <c r="N3" s="22"/>
      <c r="O3" s="22"/>
      <c r="P3" s="22"/>
      <c r="Q3" s="31"/>
      <c r="R3" s="31"/>
      <c r="S3" s="66"/>
      <c r="T3" s="15"/>
      <c r="U3" s="67"/>
      <c r="V3" s="32"/>
      <c r="W3" s="23"/>
      <c r="X3" s="37"/>
      <c r="Y3" s="37"/>
      <c r="Z3" s="37"/>
      <c r="AA3" s="18"/>
      <c r="AB3" s="165"/>
      <c r="AC3" s="165"/>
      <c r="AD3" s="165"/>
      <c r="AE3" s="165"/>
      <c r="AF3" s="165"/>
      <c r="AG3" s="37"/>
    </row>
    <row r="4" spans="1:37" s="110" customFormat="1" ht="40.25" hidden="1" customHeight="1">
      <c r="A4" s="79"/>
      <c r="B4" s="79"/>
      <c r="C4" s="79"/>
      <c r="D4" s="79"/>
      <c r="E4" s="79"/>
      <c r="F4" s="79"/>
      <c r="G4" s="79"/>
      <c r="H4" s="79"/>
      <c r="I4" s="79"/>
      <c r="J4" s="79"/>
      <c r="K4" s="79"/>
      <c r="L4" s="80"/>
      <c r="M4" s="79"/>
      <c r="N4" s="79"/>
      <c r="O4" s="79"/>
      <c r="P4" s="79"/>
      <c r="Q4" s="79"/>
      <c r="R4" s="79"/>
      <c r="S4" s="79"/>
      <c r="T4" s="79"/>
      <c r="U4" s="79"/>
      <c r="V4" s="79"/>
      <c r="W4" s="79"/>
      <c r="X4" s="79"/>
      <c r="Y4" s="79"/>
      <c r="Z4" s="79"/>
      <c r="AA4" s="18"/>
      <c r="AB4" s="165"/>
      <c r="AC4" s="165"/>
      <c r="AD4" s="165"/>
      <c r="AE4" s="165"/>
      <c r="AF4" s="165"/>
      <c r="AG4" s="37"/>
    </row>
    <row r="5" spans="1:37" ht="40.25" hidden="1" customHeight="1" thickBot="1">
      <c r="A5" s="71"/>
      <c r="B5" s="26"/>
      <c r="C5" s="26"/>
      <c r="D5" s="26"/>
      <c r="E5" s="26"/>
      <c r="F5" s="26"/>
      <c r="G5" s="26"/>
      <c r="H5" s="30"/>
      <c r="I5" s="20"/>
      <c r="J5" s="29"/>
      <c r="K5" s="20"/>
      <c r="L5" s="24"/>
      <c r="M5" s="24"/>
      <c r="N5" s="72"/>
      <c r="O5" s="30"/>
      <c r="P5" s="22"/>
      <c r="Q5" s="20"/>
      <c r="R5" s="20"/>
      <c r="S5" s="20"/>
      <c r="T5" s="73"/>
      <c r="U5" s="20"/>
      <c r="V5" s="74"/>
      <c r="W5" s="74"/>
      <c r="X5" s="75"/>
      <c r="Y5" s="76"/>
      <c r="Z5" s="77"/>
      <c r="AA5" s="18"/>
      <c r="AB5" s="165"/>
      <c r="AC5" s="165"/>
      <c r="AD5" s="165"/>
      <c r="AE5" s="165"/>
      <c r="AF5" s="165"/>
      <c r="AG5" s="37"/>
    </row>
    <row r="6" spans="1:37" ht="16.5" customHeight="1">
      <c r="A6" s="148" t="s">
        <v>32</v>
      </c>
      <c r="B6" s="163"/>
      <c r="C6" s="27"/>
      <c r="D6" s="205"/>
      <c r="E6" s="205"/>
      <c r="F6" s="275"/>
      <c r="G6" s="276"/>
      <c r="H6" s="113"/>
      <c r="J6" s="33" t="s">
        <v>9</v>
      </c>
      <c r="K6" s="109">
        <f>SUBTOTAL(109,Current_In)</f>
        <v>15.623000000000003</v>
      </c>
      <c r="L6" s="11"/>
      <c r="M6" s="11"/>
      <c r="N6" s="11"/>
      <c r="O6" s="11"/>
      <c r="Q6" s="109">
        <f>SUBTOTAL(109,Current_Out)</f>
        <v>0</v>
      </c>
      <c r="R6" s="11"/>
      <c r="S6" s="11"/>
      <c r="T6" s="109">
        <f>SUBTOTAL(109,Current_ROI)</f>
        <v>0</v>
      </c>
      <c r="V6" s="111">
        <f>IFERROR(T6/K6,0)</f>
        <v>0</v>
      </c>
      <c r="X6" s="78"/>
      <c r="Z6" s="109">
        <f>SUBTOTAL(109,Current_ROI_with_Dividend)</f>
        <v>0</v>
      </c>
      <c r="AA6" s="18"/>
      <c r="AB6" s="111">
        <f>IFERROR(Z6/K6,0)</f>
        <v>0</v>
      </c>
      <c r="AC6" s="165"/>
      <c r="AD6" s="165"/>
      <c r="AE6" s="165"/>
      <c r="AF6" s="165"/>
      <c r="AG6" s="37"/>
    </row>
    <row r="7" spans="1:37" ht="4.25" customHeight="1">
      <c r="A7" s="251"/>
      <c r="B7" s="26"/>
      <c r="C7" s="26"/>
      <c r="D7" s="26"/>
      <c r="E7" s="26"/>
      <c r="F7" s="26"/>
      <c r="G7" s="26"/>
      <c r="H7" s="30"/>
      <c r="I7" s="20"/>
      <c r="J7" s="29"/>
      <c r="K7" s="20"/>
      <c r="L7" s="24"/>
      <c r="M7" s="24"/>
      <c r="N7" s="72"/>
      <c r="O7" s="30"/>
      <c r="P7" s="22"/>
      <c r="Q7" s="20"/>
      <c r="R7" s="20"/>
      <c r="S7" s="20"/>
      <c r="T7" s="252"/>
      <c r="U7" s="20"/>
      <c r="V7" s="74"/>
      <c r="W7" s="74"/>
      <c r="X7" s="74"/>
      <c r="Y7" s="253"/>
      <c r="Z7" s="77"/>
      <c r="AA7" s="18"/>
      <c r="AB7" s="165"/>
      <c r="AC7" s="165"/>
      <c r="AD7" s="165"/>
      <c r="AE7" s="165"/>
      <c r="AF7" s="165"/>
      <c r="AG7" s="37"/>
    </row>
    <row r="8" spans="1:37" customFormat="1" ht="25.25" customHeight="1">
      <c r="A8" s="237" t="s">
        <v>10</v>
      </c>
      <c r="B8" s="237" t="s">
        <v>0</v>
      </c>
      <c r="C8" s="237" t="s">
        <v>44</v>
      </c>
      <c r="D8" s="238" t="s">
        <v>1</v>
      </c>
      <c r="E8" s="238" t="s">
        <v>2</v>
      </c>
      <c r="F8" s="238" t="s">
        <v>3</v>
      </c>
      <c r="G8" s="238" t="s">
        <v>48</v>
      </c>
      <c r="H8" s="238" t="s">
        <v>36</v>
      </c>
      <c r="I8" s="237" t="s">
        <v>37</v>
      </c>
      <c r="J8" s="237" t="s">
        <v>115</v>
      </c>
      <c r="K8" s="239" t="s">
        <v>4</v>
      </c>
      <c r="L8" s="240" t="s">
        <v>20</v>
      </c>
      <c r="M8" s="239" t="s">
        <v>27</v>
      </c>
      <c r="N8" s="239" t="s">
        <v>83</v>
      </c>
      <c r="O8" s="238" t="s">
        <v>38</v>
      </c>
      <c r="P8" s="237" t="s">
        <v>39</v>
      </c>
      <c r="Q8" s="239" t="s">
        <v>5</v>
      </c>
      <c r="R8" s="237" t="s">
        <v>34</v>
      </c>
      <c r="S8" s="237" t="s">
        <v>31</v>
      </c>
      <c r="T8" s="239" t="s">
        <v>6</v>
      </c>
      <c r="U8" s="242" t="s">
        <v>28</v>
      </c>
      <c r="V8" s="239" t="s">
        <v>7</v>
      </c>
      <c r="W8" s="239" t="s">
        <v>29</v>
      </c>
      <c r="X8" s="237" t="s">
        <v>18</v>
      </c>
      <c r="Y8" s="241" t="s">
        <v>15</v>
      </c>
      <c r="Z8" s="239" t="s">
        <v>89</v>
      </c>
      <c r="AA8" s="242" t="s">
        <v>143</v>
      </c>
      <c r="AB8" s="242" t="s">
        <v>144</v>
      </c>
      <c r="AC8" s="239" t="s">
        <v>90</v>
      </c>
      <c r="AD8" s="239" t="s">
        <v>92</v>
      </c>
      <c r="AE8" s="239" t="s">
        <v>82</v>
      </c>
      <c r="AF8" s="239" t="s">
        <v>84</v>
      </c>
      <c r="AG8" s="239" t="s">
        <v>85</v>
      </c>
      <c r="AH8" s="239" t="s">
        <v>17</v>
      </c>
      <c r="AI8" s="239" t="s">
        <v>11</v>
      </c>
      <c r="AJ8" s="243" t="s">
        <v>8</v>
      </c>
      <c r="AK8" s="244" t="s">
        <v>46</v>
      </c>
    </row>
    <row r="9" spans="1:37">
      <c r="A9" s="6" t="s">
        <v>50</v>
      </c>
      <c r="B9" s="161" t="s">
        <v>148</v>
      </c>
      <c r="C9" s="161" t="s">
        <v>110</v>
      </c>
      <c r="D9" s="5" t="s">
        <v>149</v>
      </c>
      <c r="E9" s="5" t="s">
        <v>150</v>
      </c>
      <c r="F9" s="5" t="s">
        <v>151</v>
      </c>
      <c r="G9" s="161" t="s">
        <v>111</v>
      </c>
      <c r="H9" s="49">
        <v>46128</v>
      </c>
      <c r="I9" s="50">
        <v>45.95</v>
      </c>
      <c r="J9" s="308">
        <v>0.34</v>
      </c>
      <c r="K9" s="50">
        <v>15.623000000000003</v>
      </c>
      <c r="L9" s="52">
        <v>0.01</v>
      </c>
      <c r="M9" s="52">
        <v>0.01</v>
      </c>
      <c r="N9" s="52">
        <v>6.606534223056691E-3</v>
      </c>
      <c r="O9" s="221"/>
      <c r="P9" s="51"/>
      <c r="Q9" s="50">
        <v>0</v>
      </c>
      <c r="R9" s="116"/>
      <c r="S9" s="50"/>
      <c r="T9" s="68" t="s">
        <v>117</v>
      </c>
      <c r="U9" s="68">
        <v>0</v>
      </c>
      <c r="V9" s="52" t="s">
        <v>117</v>
      </c>
      <c r="W9" s="52">
        <v>0</v>
      </c>
      <c r="X9" s="51"/>
      <c r="Y9" s="51">
        <v>0</v>
      </c>
      <c r="Z9" s="146" t="s">
        <v>117</v>
      </c>
      <c r="AA9" s="146">
        <v>0</v>
      </c>
      <c r="AB9" s="146">
        <v>0</v>
      </c>
      <c r="AC9" s="69" t="s">
        <v>117</v>
      </c>
      <c r="AD9" s="52">
        <v>0</v>
      </c>
      <c r="AE9" s="51">
        <v>15.623000000000003</v>
      </c>
      <c r="AF9" s="51">
        <v>15.623000000000003</v>
      </c>
      <c r="AG9" s="51">
        <v>21.80156293608708</v>
      </c>
      <c r="AH9" s="52" t="s">
        <v>117</v>
      </c>
      <c r="AI9" s="70">
        <v>3</v>
      </c>
      <c r="AJ9" s="14"/>
      <c r="AK9" s="175"/>
    </row>
    <row r="10" spans="1:37">
      <c r="A10" s="6"/>
      <c r="B10" s="161"/>
      <c r="C10" s="161"/>
      <c r="D10" s="303"/>
      <c r="E10" s="5"/>
      <c r="F10" s="5"/>
      <c r="G10" s="161"/>
      <c r="H10" s="49"/>
      <c r="I10" s="50"/>
      <c r="J10" s="129"/>
      <c r="K10" s="50"/>
      <c r="L10" s="52"/>
      <c r="M10" s="52"/>
      <c r="N10" s="52"/>
      <c r="O10" s="221"/>
      <c r="P10" s="51"/>
      <c r="Q10" s="50"/>
      <c r="R10" s="116"/>
      <c r="S10" s="50"/>
      <c r="T10" s="68"/>
      <c r="U10" s="68"/>
      <c r="V10" s="52"/>
      <c r="W10" s="52"/>
      <c r="X10" s="51"/>
      <c r="Y10" s="51"/>
      <c r="Z10" s="146"/>
      <c r="AA10" s="146"/>
      <c r="AB10" s="146"/>
      <c r="AC10" s="69"/>
      <c r="AD10" s="52"/>
      <c r="AE10" s="51"/>
      <c r="AF10" s="51"/>
      <c r="AG10" s="51"/>
      <c r="AH10" s="52"/>
      <c r="AI10" s="70"/>
      <c r="AJ10" s="14"/>
      <c r="AK10" s="175"/>
    </row>
    <row r="11" spans="1:37">
      <c r="A11" s="6"/>
      <c r="B11" s="161"/>
      <c r="C11" s="161"/>
      <c r="D11" s="5"/>
      <c r="E11" s="5"/>
      <c r="F11" s="5"/>
      <c r="G11" s="161"/>
      <c r="H11" s="49"/>
      <c r="I11" s="50"/>
      <c r="J11" s="129"/>
      <c r="K11" s="50"/>
      <c r="L11" s="52"/>
      <c r="M11" s="52"/>
      <c r="N11" s="52"/>
      <c r="O11" s="221"/>
      <c r="P11" s="51"/>
      <c r="Q11" s="50"/>
      <c r="R11" s="116"/>
      <c r="S11" s="50"/>
      <c r="T11" s="68"/>
      <c r="U11" s="68"/>
      <c r="V11" s="52"/>
      <c r="W11" s="52"/>
      <c r="X11" s="51"/>
      <c r="Y11" s="51"/>
      <c r="Z11" s="146"/>
      <c r="AA11" s="146"/>
      <c r="AB11" s="146"/>
      <c r="AC11" s="69"/>
      <c r="AD11" s="52"/>
      <c r="AE11" s="51"/>
      <c r="AF11" s="51"/>
      <c r="AG11" s="51"/>
      <c r="AH11" s="52"/>
      <c r="AI11" s="70"/>
      <c r="AJ11" s="14"/>
      <c r="AK11" s="175"/>
    </row>
    <row r="12" spans="1:37">
      <c r="A12" s="6"/>
      <c r="B12" s="161"/>
      <c r="C12" s="161"/>
      <c r="D12" s="5"/>
      <c r="E12" s="5"/>
      <c r="F12" s="5"/>
      <c r="G12" s="161"/>
      <c r="H12" s="49"/>
      <c r="I12" s="50"/>
      <c r="J12" s="129"/>
      <c r="K12" s="50"/>
      <c r="L12" s="52"/>
      <c r="M12" s="52"/>
      <c r="N12" s="52"/>
      <c r="O12" s="221"/>
      <c r="P12" s="51"/>
      <c r="Q12" s="50"/>
      <c r="R12" s="116"/>
      <c r="S12" s="50"/>
      <c r="T12" s="68"/>
      <c r="U12" s="68"/>
      <c r="V12" s="52"/>
      <c r="W12" s="52"/>
      <c r="X12" s="51"/>
      <c r="Y12" s="51"/>
      <c r="Z12" s="146"/>
      <c r="AA12" s="146"/>
      <c r="AB12" s="69"/>
      <c r="AC12" s="52"/>
      <c r="AD12" s="51"/>
      <c r="AE12" s="51"/>
      <c r="AF12" s="51"/>
      <c r="AG12" s="52"/>
      <c r="AH12" s="70"/>
      <c r="AI12" s="14"/>
      <c r="AJ12" s="175"/>
    </row>
    <row r="13" spans="1:37">
      <c r="A13" s="6"/>
      <c r="B13" s="161"/>
      <c r="C13" s="161"/>
      <c r="D13" s="5"/>
      <c r="E13" s="5"/>
      <c r="F13" s="5"/>
      <c r="G13" s="161"/>
      <c r="H13" s="49"/>
      <c r="I13" s="50"/>
      <c r="J13" s="129"/>
      <c r="K13" s="50"/>
      <c r="L13" s="52"/>
      <c r="M13" s="52"/>
      <c r="N13" s="52"/>
      <c r="O13" s="221"/>
      <c r="P13" s="51"/>
      <c r="Q13" s="50"/>
      <c r="R13" s="116"/>
      <c r="S13" s="50"/>
      <c r="T13" s="68"/>
      <c r="U13" s="68"/>
      <c r="V13" s="52"/>
      <c r="W13" s="52"/>
      <c r="X13" s="51"/>
      <c r="Y13" s="51"/>
      <c r="Z13" s="146"/>
      <c r="AA13" s="146"/>
      <c r="AB13" s="69"/>
      <c r="AC13" s="52"/>
      <c r="AD13" s="51"/>
      <c r="AE13" s="51"/>
      <c r="AF13" s="51"/>
      <c r="AG13" s="52"/>
      <c r="AH13" s="70"/>
      <c r="AI13" s="14"/>
      <c r="AJ13" s="175"/>
    </row>
    <row r="14" spans="1:37">
      <c r="A14" s="6"/>
      <c r="B14" s="161"/>
      <c r="C14" s="161"/>
      <c r="D14" s="5"/>
      <c r="E14" s="5"/>
      <c r="F14" s="5"/>
      <c r="G14" s="161"/>
      <c r="H14" s="49"/>
      <c r="I14" s="50"/>
      <c r="J14" s="129"/>
      <c r="K14" s="50"/>
      <c r="L14" s="52"/>
      <c r="M14" s="52"/>
      <c r="N14" s="52"/>
      <c r="O14" s="221"/>
      <c r="P14" s="51"/>
      <c r="Q14" s="50"/>
      <c r="R14" s="116"/>
      <c r="S14" s="50"/>
      <c r="T14" s="68"/>
      <c r="U14" s="68"/>
      <c r="V14" s="52"/>
      <c r="W14" s="52"/>
      <c r="X14" s="51"/>
      <c r="Y14" s="51"/>
      <c r="Z14" s="146"/>
      <c r="AA14" s="146"/>
      <c r="AB14" s="69"/>
      <c r="AC14" s="52"/>
      <c r="AD14" s="51"/>
      <c r="AE14" s="51"/>
      <c r="AF14" s="51"/>
      <c r="AG14" s="52"/>
      <c r="AH14" s="70"/>
      <c r="AI14" s="14"/>
      <c r="AJ14" s="175"/>
    </row>
    <row r="15" spans="1:37">
      <c r="A15" s="6"/>
      <c r="B15" s="161"/>
      <c r="C15" s="161"/>
      <c r="D15" s="5"/>
      <c r="E15" s="5"/>
      <c r="F15" s="5"/>
      <c r="G15" s="161"/>
      <c r="H15" s="49"/>
      <c r="I15" s="50"/>
      <c r="J15" s="129"/>
      <c r="K15" s="50"/>
      <c r="L15" s="52"/>
      <c r="M15" s="52"/>
      <c r="N15" s="52"/>
      <c r="O15" s="221"/>
      <c r="P15" s="51"/>
      <c r="Q15" s="50"/>
      <c r="R15" s="116"/>
      <c r="S15" s="50"/>
      <c r="T15" s="68"/>
      <c r="U15" s="68"/>
      <c r="V15" s="52"/>
      <c r="W15" s="52"/>
      <c r="X15" s="51"/>
      <c r="Y15" s="51"/>
      <c r="Z15" s="146"/>
      <c r="AA15" s="146"/>
      <c r="AB15" s="69"/>
      <c r="AC15" s="52"/>
      <c r="AD15" s="51"/>
      <c r="AE15" s="51"/>
      <c r="AF15" s="51"/>
      <c r="AG15" s="52"/>
      <c r="AH15" s="70"/>
      <c r="AI15" s="14"/>
      <c r="AJ15" s="175"/>
    </row>
    <row r="16" spans="1:37">
      <c r="A16" s="6"/>
      <c r="B16" s="161"/>
      <c r="C16" s="161"/>
      <c r="D16" s="5"/>
      <c r="E16" s="5"/>
      <c r="F16" s="5"/>
      <c r="G16" s="161"/>
      <c r="H16" s="49"/>
      <c r="I16" s="50"/>
      <c r="J16" s="129"/>
      <c r="K16" s="50"/>
      <c r="L16" s="52"/>
      <c r="M16" s="52"/>
      <c r="N16" s="52"/>
      <c r="O16" s="221"/>
      <c r="P16" s="51"/>
      <c r="Q16" s="50"/>
      <c r="R16" s="116"/>
      <c r="S16" s="50"/>
      <c r="T16" s="68"/>
      <c r="U16" s="68"/>
      <c r="V16" s="52"/>
      <c r="W16" s="52"/>
      <c r="X16" s="51"/>
      <c r="Y16" s="51"/>
      <c r="Z16" s="146"/>
      <c r="AA16" s="146"/>
      <c r="AB16" s="69"/>
      <c r="AC16" s="52"/>
      <c r="AD16" s="51"/>
      <c r="AE16" s="51"/>
      <c r="AF16" s="51"/>
      <c r="AG16" s="52"/>
      <c r="AH16" s="70"/>
      <c r="AI16" s="14"/>
      <c r="AJ16" s="175"/>
    </row>
    <row r="17" spans="1:36">
      <c r="A17" s="6"/>
      <c r="B17" s="161"/>
      <c r="C17" s="161"/>
      <c r="D17" s="5"/>
      <c r="E17" s="5"/>
      <c r="F17" s="5"/>
      <c r="G17" s="161"/>
      <c r="H17" s="49"/>
      <c r="I17" s="50"/>
      <c r="J17" s="129"/>
      <c r="K17" s="50"/>
      <c r="L17" s="52"/>
      <c r="M17" s="52"/>
      <c r="N17" s="52"/>
      <c r="O17" s="221"/>
      <c r="P17" s="51"/>
      <c r="Q17" s="50"/>
      <c r="R17" s="116"/>
      <c r="S17" s="50"/>
      <c r="T17" s="68"/>
      <c r="U17" s="68"/>
      <c r="V17" s="52"/>
      <c r="W17" s="52"/>
      <c r="X17" s="51"/>
      <c r="Y17" s="51"/>
      <c r="Z17" s="146"/>
      <c r="AA17" s="146"/>
      <c r="AB17" s="69"/>
      <c r="AC17" s="52"/>
      <c r="AD17" s="51"/>
      <c r="AE17" s="51"/>
      <c r="AF17" s="51"/>
      <c r="AG17" s="52"/>
      <c r="AH17" s="70"/>
      <c r="AI17" s="14"/>
      <c r="AJ17" s="175"/>
    </row>
    <row r="18" spans="1:36">
      <c r="A18" s="6"/>
      <c r="B18" s="161"/>
      <c r="C18" s="161"/>
      <c r="D18" s="5"/>
      <c r="E18" s="5"/>
      <c r="F18" s="5"/>
      <c r="G18" s="161"/>
      <c r="H18" s="49"/>
      <c r="I18" s="50"/>
      <c r="J18" s="129"/>
      <c r="K18" s="50"/>
      <c r="L18" s="52"/>
      <c r="M18" s="52"/>
      <c r="N18" s="52"/>
      <c r="O18" s="221"/>
      <c r="P18" s="51"/>
      <c r="Q18" s="50"/>
      <c r="R18" s="116"/>
      <c r="S18" s="50"/>
      <c r="T18" s="68"/>
      <c r="U18" s="68"/>
      <c r="V18" s="52"/>
      <c r="W18" s="52"/>
      <c r="X18" s="51"/>
      <c r="Y18" s="51"/>
      <c r="Z18" s="146"/>
      <c r="AA18" s="146"/>
      <c r="AB18" s="69"/>
      <c r="AC18" s="52"/>
      <c r="AD18" s="51"/>
      <c r="AE18" s="51"/>
      <c r="AF18" s="51"/>
      <c r="AG18" s="52"/>
      <c r="AH18" s="70"/>
      <c r="AI18" s="14"/>
      <c r="AJ18" s="175"/>
    </row>
    <row r="19" spans="1:36">
      <c r="A19" s="6"/>
      <c r="B19" s="161"/>
      <c r="C19" s="161"/>
      <c r="D19" s="5"/>
      <c r="E19" s="5"/>
      <c r="F19" s="5"/>
      <c r="G19" s="161"/>
      <c r="H19" s="49"/>
      <c r="I19" s="50"/>
      <c r="J19" s="129"/>
      <c r="K19" s="50"/>
      <c r="L19" s="52"/>
      <c r="M19" s="52"/>
      <c r="N19" s="52"/>
      <c r="O19" s="221"/>
      <c r="P19" s="51"/>
      <c r="Q19" s="50"/>
      <c r="R19" s="116"/>
      <c r="S19" s="50"/>
      <c r="T19" s="68"/>
      <c r="U19" s="68"/>
      <c r="V19" s="52"/>
      <c r="W19" s="52"/>
      <c r="X19" s="51"/>
      <c r="Y19" s="51"/>
      <c r="Z19" s="146"/>
      <c r="AA19" s="146"/>
      <c r="AB19" s="69"/>
      <c r="AC19" s="52"/>
      <c r="AD19" s="51"/>
      <c r="AE19" s="51"/>
      <c r="AF19" s="51"/>
      <c r="AG19" s="52"/>
      <c r="AH19" s="70"/>
      <c r="AI19" s="14"/>
      <c r="AJ19" s="175"/>
    </row>
    <row r="20" spans="1:36">
      <c r="A20" s="6"/>
      <c r="B20" s="161"/>
      <c r="C20" s="161"/>
      <c r="D20" s="5"/>
      <c r="E20" s="5"/>
      <c r="F20" s="5"/>
      <c r="G20" s="161"/>
      <c r="H20" s="49"/>
      <c r="I20" s="50"/>
      <c r="J20" s="129"/>
      <c r="K20" s="50"/>
      <c r="L20" s="52"/>
      <c r="M20" s="52"/>
      <c r="N20" s="52"/>
      <c r="O20" s="221"/>
      <c r="P20" s="51"/>
      <c r="Q20" s="50"/>
      <c r="R20" s="116"/>
      <c r="S20" s="50"/>
      <c r="T20" s="68"/>
      <c r="U20" s="68"/>
      <c r="V20" s="52"/>
      <c r="W20" s="52"/>
      <c r="X20" s="51"/>
      <c r="Y20" s="51"/>
      <c r="Z20" s="146"/>
      <c r="AA20" s="146"/>
      <c r="AB20" s="69"/>
      <c r="AC20" s="52"/>
      <c r="AD20" s="51"/>
      <c r="AE20" s="51"/>
      <c r="AF20" s="51"/>
      <c r="AG20" s="52"/>
      <c r="AH20" s="70"/>
      <c r="AI20" s="14"/>
      <c r="AJ20" s="175"/>
    </row>
    <row r="21" spans="1:36">
      <c r="A21" s="6"/>
      <c r="B21" s="161"/>
      <c r="C21" s="161"/>
      <c r="D21" s="5"/>
      <c r="E21" s="5"/>
      <c r="F21" s="5"/>
      <c r="G21" s="161"/>
      <c r="H21" s="49"/>
      <c r="I21" s="50"/>
      <c r="J21" s="129"/>
      <c r="K21" s="50"/>
      <c r="L21" s="52"/>
      <c r="M21" s="52"/>
      <c r="N21" s="52"/>
      <c r="O21" s="221"/>
      <c r="P21" s="51"/>
      <c r="Q21" s="50"/>
      <c r="R21" s="116"/>
      <c r="S21" s="50"/>
      <c r="T21" s="68"/>
      <c r="U21" s="68"/>
      <c r="V21" s="52"/>
      <c r="W21" s="52"/>
      <c r="X21" s="51"/>
      <c r="Y21" s="51"/>
      <c r="Z21" s="146"/>
      <c r="AA21" s="146"/>
      <c r="AB21" s="69"/>
      <c r="AC21" s="52"/>
      <c r="AD21" s="51"/>
      <c r="AE21" s="51"/>
      <c r="AF21" s="51"/>
      <c r="AG21" s="52"/>
      <c r="AH21" s="70"/>
      <c r="AI21" s="14"/>
      <c r="AJ21" s="175"/>
    </row>
    <row r="22" spans="1:36">
      <c r="A22" s="6"/>
      <c r="B22" s="161"/>
      <c r="C22" s="161"/>
      <c r="D22" s="5"/>
      <c r="E22" s="5"/>
      <c r="F22" s="5"/>
      <c r="G22" s="161"/>
      <c r="H22" s="49"/>
      <c r="I22" s="50"/>
      <c r="J22" s="129"/>
      <c r="K22" s="50"/>
      <c r="L22" s="52"/>
      <c r="M22" s="52"/>
      <c r="N22" s="52"/>
      <c r="O22" s="221"/>
      <c r="P22" s="51"/>
      <c r="Q22" s="50"/>
      <c r="R22" s="116"/>
      <c r="S22" s="50"/>
      <c r="T22" s="68"/>
      <c r="U22" s="68"/>
      <c r="V22" s="52"/>
      <c r="W22" s="52"/>
      <c r="X22" s="51"/>
      <c r="Y22" s="51"/>
      <c r="Z22" s="146"/>
      <c r="AA22" s="146"/>
      <c r="AB22" s="69"/>
      <c r="AC22" s="52"/>
      <c r="AD22" s="51"/>
      <c r="AE22" s="51"/>
      <c r="AF22" s="51"/>
      <c r="AG22" s="52"/>
      <c r="AH22" s="70"/>
      <c r="AI22" s="14"/>
      <c r="AJ22" s="175"/>
    </row>
    <row r="23" spans="1:36">
      <c r="A23" s="6"/>
      <c r="B23" s="161"/>
      <c r="C23" s="161"/>
      <c r="D23" s="5"/>
      <c r="E23" s="5"/>
      <c r="F23" s="5"/>
      <c r="G23" s="161"/>
      <c r="H23" s="49"/>
      <c r="I23" s="50"/>
      <c r="J23" s="129"/>
      <c r="K23" s="50"/>
      <c r="L23" s="52"/>
      <c r="M23" s="52"/>
      <c r="N23" s="52"/>
      <c r="O23" s="221"/>
      <c r="P23" s="51"/>
      <c r="Q23" s="50"/>
      <c r="R23" s="116"/>
      <c r="S23" s="50"/>
      <c r="T23" s="68"/>
      <c r="U23" s="68"/>
      <c r="V23" s="52"/>
      <c r="W23" s="52"/>
      <c r="X23" s="51"/>
      <c r="Y23" s="51"/>
      <c r="Z23" s="146"/>
      <c r="AA23" s="146"/>
      <c r="AB23" s="69"/>
      <c r="AC23" s="52"/>
      <c r="AD23" s="51"/>
      <c r="AE23" s="51"/>
      <c r="AF23" s="51"/>
      <c r="AG23" s="52"/>
      <c r="AH23" s="70"/>
      <c r="AI23" s="14"/>
      <c r="AJ23" s="175"/>
    </row>
    <row r="24" spans="1:36">
      <c r="A24" s="6"/>
      <c r="B24" s="161"/>
      <c r="C24" s="161"/>
      <c r="D24" s="5"/>
      <c r="E24" s="5"/>
      <c r="F24" s="5"/>
      <c r="G24" s="161"/>
      <c r="H24" s="49"/>
      <c r="I24" s="50"/>
      <c r="J24" s="129"/>
      <c r="K24" s="50"/>
      <c r="L24" s="52"/>
      <c r="M24" s="52"/>
      <c r="N24" s="52"/>
      <c r="O24" s="221"/>
      <c r="P24" s="51"/>
      <c r="Q24" s="50"/>
      <c r="R24" s="116"/>
      <c r="S24" s="50"/>
      <c r="T24" s="68"/>
      <c r="U24" s="68"/>
      <c r="V24" s="52"/>
      <c r="W24" s="52"/>
      <c r="X24" s="51"/>
      <c r="Y24" s="51"/>
      <c r="Z24" s="146"/>
      <c r="AA24" s="146"/>
      <c r="AB24" s="69"/>
      <c r="AC24" s="52"/>
      <c r="AD24" s="51"/>
      <c r="AE24" s="51"/>
      <c r="AF24" s="51"/>
      <c r="AG24" s="52"/>
      <c r="AH24" s="70"/>
      <c r="AI24" s="14"/>
      <c r="AJ24" s="175"/>
    </row>
    <row r="25" spans="1:36">
      <c r="A25" s="6"/>
      <c r="B25" s="161"/>
      <c r="C25" s="161"/>
      <c r="D25" s="5"/>
      <c r="E25" s="5"/>
      <c r="F25" s="5"/>
      <c r="G25" s="161"/>
      <c r="H25" s="49"/>
      <c r="I25" s="50"/>
      <c r="J25" s="129"/>
      <c r="K25" s="50"/>
      <c r="L25" s="52"/>
      <c r="M25" s="52"/>
      <c r="N25" s="52"/>
      <c r="O25" s="221"/>
      <c r="P25" s="51"/>
      <c r="Q25" s="50"/>
      <c r="R25" s="116"/>
      <c r="S25" s="50"/>
      <c r="T25" s="68"/>
      <c r="U25" s="68"/>
      <c r="V25" s="52"/>
      <c r="W25" s="52"/>
      <c r="X25" s="51"/>
      <c r="Y25" s="51"/>
      <c r="Z25" s="146"/>
      <c r="AA25" s="146"/>
      <c r="AB25" s="69"/>
      <c r="AC25" s="52"/>
      <c r="AD25" s="51"/>
      <c r="AE25" s="51"/>
      <c r="AF25" s="51"/>
      <c r="AG25" s="52"/>
      <c r="AH25" s="70"/>
      <c r="AI25" s="14"/>
      <c r="AJ25" s="175"/>
    </row>
    <row r="26" spans="1:36">
      <c r="A26" s="6"/>
      <c r="B26" s="161"/>
      <c r="C26" s="161"/>
      <c r="D26" s="5"/>
      <c r="E26" s="5"/>
      <c r="F26" s="5"/>
      <c r="G26" s="161"/>
      <c r="H26" s="49"/>
      <c r="I26" s="50"/>
      <c r="J26" s="129"/>
      <c r="K26" s="50"/>
      <c r="L26" s="52"/>
      <c r="M26" s="52"/>
      <c r="N26" s="52"/>
      <c r="O26" s="221"/>
      <c r="P26" s="51"/>
      <c r="Q26" s="50"/>
      <c r="R26" s="116"/>
      <c r="S26" s="50"/>
      <c r="T26" s="68"/>
      <c r="U26" s="68"/>
      <c r="V26" s="52"/>
      <c r="W26" s="52"/>
      <c r="X26" s="51"/>
      <c r="Y26" s="51"/>
      <c r="Z26" s="146"/>
      <c r="AA26" s="146"/>
      <c r="AB26" s="69"/>
      <c r="AC26" s="52"/>
      <c r="AD26" s="51"/>
      <c r="AE26" s="51"/>
      <c r="AF26" s="51"/>
      <c r="AG26" s="52"/>
      <c r="AH26" s="70"/>
      <c r="AI26" s="14"/>
      <c r="AJ26" s="175"/>
    </row>
    <row r="27" spans="1:36">
      <c r="A27" s="6"/>
      <c r="B27" s="161"/>
      <c r="C27" s="161"/>
      <c r="D27" s="5"/>
      <c r="E27" s="5"/>
      <c r="F27" s="5"/>
      <c r="G27" s="161"/>
      <c r="H27" s="49"/>
      <c r="I27" s="50"/>
      <c r="J27" s="129"/>
      <c r="K27" s="50"/>
      <c r="L27" s="52"/>
      <c r="M27" s="52"/>
      <c r="N27" s="52"/>
      <c r="O27" s="221"/>
      <c r="P27" s="51"/>
      <c r="Q27" s="50"/>
      <c r="R27" s="116"/>
      <c r="S27" s="50"/>
      <c r="T27" s="68"/>
      <c r="U27" s="68"/>
      <c r="V27" s="52"/>
      <c r="W27" s="52"/>
      <c r="X27" s="51"/>
      <c r="Y27" s="51"/>
      <c r="Z27" s="146"/>
      <c r="AA27" s="146"/>
      <c r="AB27" s="69"/>
      <c r="AC27" s="52"/>
      <c r="AD27" s="51"/>
      <c r="AE27" s="51"/>
      <c r="AF27" s="51"/>
      <c r="AG27" s="52"/>
      <c r="AH27" s="70"/>
      <c r="AI27" s="14"/>
      <c r="AJ27" s="175"/>
    </row>
    <row r="28" spans="1:36">
      <c r="A28" s="6"/>
      <c r="B28" s="161"/>
      <c r="C28" s="161"/>
      <c r="D28" s="5"/>
      <c r="E28" s="5"/>
      <c r="F28" s="5"/>
      <c r="G28" s="161"/>
      <c r="H28" s="49"/>
      <c r="I28" s="50"/>
      <c r="J28" s="129"/>
      <c r="K28" s="50"/>
      <c r="L28" s="52"/>
      <c r="M28" s="52"/>
      <c r="N28" s="52"/>
      <c r="O28" s="221"/>
      <c r="P28" s="51"/>
      <c r="Q28" s="50"/>
      <c r="R28" s="116"/>
      <c r="S28" s="50"/>
      <c r="T28" s="68"/>
      <c r="U28" s="68"/>
      <c r="V28" s="52"/>
      <c r="W28" s="52"/>
      <c r="X28" s="51"/>
      <c r="Y28" s="51"/>
      <c r="Z28" s="146"/>
      <c r="AA28" s="146"/>
      <c r="AB28" s="69"/>
      <c r="AC28" s="52"/>
      <c r="AD28" s="51"/>
      <c r="AE28" s="51"/>
      <c r="AF28" s="51"/>
      <c r="AG28" s="52"/>
      <c r="AH28" s="70"/>
      <c r="AI28" s="14"/>
      <c r="AJ28" s="175"/>
    </row>
    <row r="29" spans="1:36">
      <c r="A29" s="6"/>
      <c r="B29" s="161"/>
      <c r="C29" s="161"/>
      <c r="D29" s="5"/>
      <c r="E29" s="5"/>
      <c r="F29" s="5"/>
      <c r="G29" s="161"/>
      <c r="H29" s="49"/>
      <c r="I29" s="50"/>
      <c r="J29" s="129"/>
      <c r="K29" s="50"/>
      <c r="L29" s="52"/>
      <c r="M29" s="52"/>
      <c r="N29" s="52"/>
      <c r="O29" s="221"/>
      <c r="P29" s="51"/>
      <c r="Q29" s="50"/>
      <c r="R29" s="116"/>
      <c r="S29" s="50"/>
      <c r="T29" s="68"/>
      <c r="U29" s="68"/>
      <c r="V29" s="52"/>
      <c r="W29" s="52"/>
      <c r="X29" s="51"/>
      <c r="Y29" s="51"/>
      <c r="Z29" s="146"/>
      <c r="AA29" s="146"/>
      <c r="AB29" s="69"/>
      <c r="AC29" s="52"/>
      <c r="AD29" s="51"/>
      <c r="AE29" s="51"/>
      <c r="AF29" s="51"/>
      <c r="AG29" s="52"/>
      <c r="AH29" s="70"/>
      <c r="AI29" s="14"/>
      <c r="AJ29" s="175"/>
    </row>
    <row r="30" spans="1:36">
      <c r="A30" s="6"/>
      <c r="B30" s="161"/>
      <c r="C30" s="161"/>
      <c r="D30" s="5"/>
      <c r="E30" s="5"/>
      <c r="F30" s="5"/>
      <c r="G30" s="161"/>
      <c r="H30" s="49"/>
      <c r="I30" s="50"/>
      <c r="J30" s="129"/>
      <c r="K30" s="50"/>
      <c r="L30" s="52"/>
      <c r="M30" s="52"/>
      <c r="N30" s="52"/>
      <c r="O30" s="221"/>
      <c r="P30" s="51"/>
      <c r="Q30" s="50"/>
      <c r="R30" s="116"/>
      <c r="S30" s="50"/>
      <c r="T30" s="68"/>
      <c r="U30" s="68"/>
      <c r="V30" s="52"/>
      <c r="W30" s="52"/>
      <c r="X30" s="51"/>
      <c r="Y30" s="51"/>
      <c r="Z30" s="146"/>
      <c r="AA30" s="146"/>
      <c r="AB30" s="69"/>
      <c r="AC30" s="52"/>
      <c r="AD30" s="51"/>
      <c r="AE30" s="51"/>
      <c r="AF30" s="51"/>
      <c r="AG30" s="52"/>
      <c r="AH30" s="70"/>
      <c r="AI30" s="14"/>
      <c r="AJ30" s="175"/>
    </row>
    <row r="31" spans="1:36">
      <c r="A31" s="6"/>
      <c r="B31" s="161"/>
      <c r="C31" s="161"/>
      <c r="D31" s="5"/>
      <c r="E31" s="5"/>
      <c r="F31" s="5"/>
      <c r="G31" s="161"/>
      <c r="H31" s="49"/>
      <c r="I31" s="50"/>
      <c r="J31" s="129"/>
      <c r="K31" s="50"/>
      <c r="L31" s="52"/>
      <c r="M31" s="52"/>
      <c r="N31" s="52"/>
      <c r="O31" s="221"/>
      <c r="P31" s="51"/>
      <c r="Q31" s="50"/>
      <c r="R31" s="116"/>
      <c r="S31" s="50"/>
      <c r="T31" s="68"/>
      <c r="U31" s="68"/>
      <c r="V31" s="52"/>
      <c r="W31" s="52"/>
      <c r="X31" s="51"/>
      <c r="Y31" s="51"/>
      <c r="Z31" s="146"/>
      <c r="AA31" s="146"/>
      <c r="AB31" s="69"/>
      <c r="AC31" s="52"/>
      <c r="AD31" s="51"/>
      <c r="AE31" s="51"/>
      <c r="AF31" s="51"/>
      <c r="AG31" s="52"/>
      <c r="AH31" s="70"/>
      <c r="AI31" s="14"/>
      <c r="AJ31" s="175"/>
    </row>
    <row r="32" spans="1:36">
      <c r="A32" s="6"/>
      <c r="B32" s="161"/>
      <c r="C32" s="161"/>
      <c r="D32" s="5"/>
      <c r="E32" s="5"/>
      <c r="F32" s="5"/>
      <c r="G32" s="161"/>
      <c r="H32" s="49"/>
      <c r="I32" s="50"/>
      <c r="J32" s="129"/>
      <c r="K32" s="50"/>
      <c r="L32" s="52"/>
      <c r="M32" s="52"/>
      <c r="N32" s="52"/>
      <c r="O32" s="221"/>
      <c r="P32" s="51"/>
      <c r="Q32" s="50"/>
      <c r="R32" s="116"/>
      <c r="S32" s="50"/>
      <c r="T32" s="68"/>
      <c r="U32" s="68"/>
      <c r="V32" s="52"/>
      <c r="W32" s="52"/>
      <c r="X32" s="51"/>
      <c r="Y32" s="51"/>
      <c r="Z32" s="146"/>
      <c r="AA32" s="146"/>
      <c r="AB32" s="69"/>
      <c r="AC32" s="52"/>
      <c r="AD32" s="51"/>
      <c r="AE32" s="51"/>
      <c r="AF32" s="51"/>
      <c r="AG32" s="52"/>
      <c r="AH32" s="70"/>
      <c r="AI32" s="14"/>
      <c r="AJ32" s="175"/>
    </row>
    <row r="33" spans="1:36">
      <c r="A33" s="6"/>
      <c r="B33" s="161"/>
      <c r="C33" s="161"/>
      <c r="D33" s="5"/>
      <c r="E33" s="5"/>
      <c r="F33" s="5"/>
      <c r="G33" s="161"/>
      <c r="H33" s="49"/>
      <c r="I33" s="50"/>
      <c r="J33" s="129"/>
      <c r="K33" s="50"/>
      <c r="L33" s="52"/>
      <c r="M33" s="52"/>
      <c r="N33" s="52"/>
      <c r="O33" s="221"/>
      <c r="P33" s="51"/>
      <c r="Q33" s="50"/>
      <c r="R33" s="116"/>
      <c r="S33" s="50"/>
      <c r="T33" s="68"/>
      <c r="U33" s="68"/>
      <c r="V33" s="52"/>
      <c r="W33" s="52"/>
      <c r="X33" s="51"/>
      <c r="Y33" s="51"/>
      <c r="Z33" s="146"/>
      <c r="AA33" s="146"/>
      <c r="AB33" s="69"/>
      <c r="AC33" s="52"/>
      <c r="AD33" s="51"/>
      <c r="AE33" s="51"/>
      <c r="AF33" s="51"/>
      <c r="AG33" s="52"/>
      <c r="AH33" s="70"/>
      <c r="AI33" s="14"/>
      <c r="AJ33" s="175"/>
    </row>
    <row r="34" spans="1:36">
      <c r="A34" s="6"/>
      <c r="B34" s="161"/>
      <c r="C34" s="161"/>
      <c r="D34" s="5"/>
      <c r="E34" s="5"/>
      <c r="F34" s="5"/>
      <c r="G34" s="161"/>
      <c r="H34" s="49"/>
      <c r="I34" s="50"/>
      <c r="J34" s="129"/>
      <c r="K34" s="50"/>
      <c r="L34" s="52"/>
      <c r="M34" s="52"/>
      <c r="N34" s="52"/>
      <c r="O34" s="221"/>
      <c r="P34" s="51"/>
      <c r="Q34" s="50"/>
      <c r="R34" s="116"/>
      <c r="S34" s="50"/>
      <c r="T34" s="68"/>
      <c r="U34" s="68"/>
      <c r="V34" s="52"/>
      <c r="W34" s="52"/>
      <c r="X34" s="51"/>
      <c r="Y34" s="51"/>
      <c r="Z34" s="146"/>
      <c r="AA34" s="146"/>
      <c r="AB34" s="69"/>
      <c r="AC34" s="52"/>
      <c r="AD34" s="51"/>
      <c r="AE34" s="51"/>
      <c r="AF34" s="51"/>
      <c r="AG34" s="52"/>
      <c r="AH34" s="70"/>
      <c r="AI34" s="14"/>
      <c r="AJ34" s="175"/>
    </row>
    <row r="35" spans="1:36">
      <c r="A35" s="6"/>
      <c r="B35" s="161"/>
      <c r="C35" s="161"/>
      <c r="D35" s="5"/>
      <c r="E35" s="5"/>
      <c r="F35" s="5"/>
      <c r="G35" s="161"/>
      <c r="H35" s="49"/>
      <c r="I35" s="50"/>
      <c r="J35" s="129"/>
      <c r="K35" s="50"/>
      <c r="L35" s="52"/>
      <c r="M35" s="52"/>
      <c r="N35" s="52"/>
      <c r="O35" s="221"/>
      <c r="P35" s="51"/>
      <c r="Q35" s="50"/>
      <c r="R35" s="116"/>
      <c r="S35" s="50"/>
      <c r="T35" s="68"/>
      <c r="U35" s="68"/>
      <c r="V35" s="52"/>
      <c r="W35" s="52"/>
      <c r="X35" s="51"/>
      <c r="Y35" s="51"/>
      <c r="Z35" s="146"/>
      <c r="AA35" s="146"/>
      <c r="AB35" s="69"/>
      <c r="AC35" s="52"/>
      <c r="AD35" s="51"/>
      <c r="AE35" s="51"/>
      <c r="AF35" s="51"/>
      <c r="AG35" s="52"/>
      <c r="AH35" s="70"/>
      <c r="AI35" s="14"/>
      <c r="AJ35" s="175"/>
    </row>
    <row r="36" spans="1:36">
      <c r="A36" s="6"/>
      <c r="B36" s="161"/>
      <c r="C36" s="161"/>
      <c r="D36" s="5"/>
      <c r="E36" s="5"/>
      <c r="F36" s="5"/>
      <c r="G36" s="161"/>
      <c r="H36" s="49"/>
      <c r="I36" s="50"/>
      <c r="J36" s="129"/>
      <c r="K36" s="50"/>
      <c r="L36" s="52"/>
      <c r="M36" s="52"/>
      <c r="N36" s="52"/>
      <c r="O36" s="221"/>
      <c r="P36" s="51"/>
      <c r="Q36" s="50"/>
      <c r="R36" s="116"/>
      <c r="S36" s="50"/>
      <c r="T36" s="68"/>
      <c r="U36" s="68"/>
      <c r="V36" s="52"/>
      <c r="W36" s="52"/>
      <c r="X36" s="51"/>
      <c r="Y36" s="51"/>
      <c r="Z36" s="146"/>
      <c r="AA36" s="146"/>
      <c r="AB36" s="69"/>
      <c r="AC36" s="52"/>
      <c r="AD36" s="51"/>
      <c r="AE36" s="51"/>
      <c r="AF36" s="51"/>
      <c r="AG36" s="52"/>
      <c r="AH36" s="70"/>
      <c r="AI36" s="14"/>
      <c r="AJ36" s="175"/>
    </row>
    <row r="37" spans="1:36">
      <c r="A37" s="6"/>
      <c r="B37" s="161"/>
      <c r="C37" s="161"/>
      <c r="D37" s="5"/>
      <c r="E37" s="5"/>
      <c r="F37" s="5"/>
      <c r="G37" s="161"/>
      <c r="H37" s="49"/>
      <c r="I37" s="50"/>
      <c r="J37" s="129"/>
      <c r="K37" s="50"/>
      <c r="L37" s="52"/>
      <c r="M37" s="52"/>
      <c r="N37" s="52"/>
      <c r="O37" s="221"/>
      <c r="P37" s="51"/>
      <c r="Q37" s="50"/>
      <c r="R37" s="116"/>
      <c r="S37" s="50"/>
      <c r="T37" s="68"/>
      <c r="U37" s="68"/>
      <c r="V37" s="52"/>
      <c r="W37" s="52"/>
      <c r="X37" s="51"/>
      <c r="Y37" s="51"/>
      <c r="Z37" s="146"/>
      <c r="AA37" s="146"/>
      <c r="AB37" s="69"/>
      <c r="AC37" s="52"/>
      <c r="AD37" s="51"/>
      <c r="AE37" s="51"/>
      <c r="AF37" s="51"/>
      <c r="AG37" s="52"/>
      <c r="AH37" s="70"/>
      <c r="AI37" s="14"/>
      <c r="AJ37" s="175"/>
    </row>
  </sheetData>
  <sheetProtection algorithmName="SHA-512" hashValue="bgzWq1KWFCMczNgbInt7Q+2/iOh8ijPXMAXbyvqI3P87x9M5DWPouONN+xB/dGbM5ZWXVqOS/8z7F+SyvsIT3w==" saltValue="XLRpA/VV3HjRP7bieNuieg==" spinCount="100000" sheet="1" objects="1" scenarios="1" formatCells="0" formatColumns="0" formatRows="0" insertColumns="0" deleteColumns="0" sort="0" autoFilter="0"/>
  <pageMargins left="0.25" right="0.25" top="0.75" bottom="0.75" header="0.3" footer="0.3"/>
  <pageSetup fitToHeight="0" orientation="landscape" r:id="rId1"/>
  <headerFooter>
    <oddFooter>&amp;R&amp;9&amp;"Calibri"Trading Diary&amp;L&amp;9&amp;"Calibri"Copyright © Effective Trading Solutions Pty Ltd, all rights reserved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569" r:id="rId4" name="Button 113">
              <controlPr locked="0" defaultSize="0" autoFill="0" autoPict="0" macro="[0]!CurrencyUSD" altText="Reorder">
                <anchor moveWithCells="1">
                  <from>
                    <xdr:col>2</xdr:col>
                    <xdr:colOff>101600</xdr:colOff>
                    <xdr:row>5</xdr:row>
                    <xdr:rowOff>63500</xdr:rowOff>
                  </from>
                  <to>
                    <xdr:col>2</xdr:col>
                    <xdr:colOff>381000</xdr:colOff>
                    <xdr:row>6</xdr:row>
                    <xdr:rowOff>0</xdr:rowOff>
                  </to>
                </anchor>
              </controlPr>
            </control>
          </mc:Choice>
        </mc:AlternateContent>
        <mc:AlternateContent xmlns:mc="http://schemas.openxmlformats.org/markup-compatibility/2006">
          <mc:Choice Requires="x14">
            <control shapeId="19570" r:id="rId5" name="Button 114">
              <controlPr locked="0" defaultSize="0" autoFill="0" autoPict="0" macro="[0]!CurrencyBase" altText="Reorder">
                <anchor moveWithCells="1">
                  <from>
                    <xdr:col>2</xdr:col>
                    <xdr:colOff>101600</xdr:colOff>
                    <xdr:row>1</xdr:row>
                    <xdr:rowOff>304800</xdr:rowOff>
                  </from>
                  <to>
                    <xdr:col>2</xdr:col>
                    <xdr:colOff>381000</xdr:colOff>
                    <xdr:row>5</xdr:row>
                    <xdr:rowOff>63500</xdr:rowOff>
                  </to>
                </anchor>
              </controlPr>
            </control>
          </mc:Choice>
        </mc:AlternateContent>
        <mc:AlternateContent xmlns:mc="http://schemas.openxmlformats.org/markup-compatibility/2006">
          <mc:Choice Requires="x14">
            <control shapeId="19571" r:id="rId6" name="Button 115">
              <controlPr defaultSize="0" autoFill="0" autoPict="0" macro="[0]!ForeignExchangeFilter" altText="FX">
                <anchor moveWithCells="1" sizeWithCells="1">
                  <from>
                    <xdr:col>11</xdr:col>
                    <xdr:colOff>76200</xdr:colOff>
                    <xdr:row>1</xdr:row>
                    <xdr:rowOff>101600</xdr:rowOff>
                  </from>
                  <to>
                    <xdr:col>11</xdr:col>
                    <xdr:colOff>304800</xdr:colOff>
                    <xdr:row>1</xdr:row>
                    <xdr:rowOff>266700</xdr:rowOff>
                  </to>
                </anchor>
              </controlPr>
            </control>
          </mc:Choice>
        </mc:AlternateContent>
        <mc:AlternateContent xmlns:mc="http://schemas.openxmlformats.org/markup-compatibility/2006">
          <mc:Choice Requires="x14">
            <control shapeId="19572" r:id="rId7" name="Button 116">
              <controlPr defaultSize="0" autoFill="0" autoPict="0" macro="[0]!ShortsFilter" altText="Short">
                <anchor moveWithCells="1" sizeWithCells="1">
                  <from>
                    <xdr:col>10</xdr:col>
                    <xdr:colOff>444500</xdr:colOff>
                    <xdr:row>1</xdr:row>
                    <xdr:rowOff>101600</xdr:rowOff>
                  </from>
                  <to>
                    <xdr:col>11</xdr:col>
                    <xdr:colOff>76200</xdr:colOff>
                    <xdr:row>1</xdr:row>
                    <xdr:rowOff>266700</xdr:rowOff>
                  </to>
                </anchor>
              </controlPr>
            </control>
          </mc:Choice>
        </mc:AlternateContent>
        <mc:AlternateContent xmlns:mc="http://schemas.openxmlformats.org/markup-compatibility/2006">
          <mc:Choice Requires="x14">
            <control shapeId="19573" r:id="rId8" name="Button 117">
              <controlPr defaultSize="0" autoFill="0" autoPict="0" macro="[0]!LongsFilter" altText="Long">
                <anchor moveWithCells="1" sizeWithCells="1">
                  <from>
                    <xdr:col>10</xdr:col>
                    <xdr:colOff>38100</xdr:colOff>
                    <xdr:row>1</xdr:row>
                    <xdr:rowOff>101600</xdr:rowOff>
                  </from>
                  <to>
                    <xdr:col>10</xdr:col>
                    <xdr:colOff>444500</xdr:colOff>
                    <xdr:row>1</xdr:row>
                    <xdr:rowOff>266700</xdr:rowOff>
                  </to>
                </anchor>
              </controlPr>
            </control>
          </mc:Choice>
        </mc:AlternateContent>
        <mc:AlternateContent xmlns:mc="http://schemas.openxmlformats.org/markup-compatibility/2006">
          <mc:Choice Requires="x14">
            <control shapeId="19574" r:id="rId9" name="Button 118">
              <controlPr defaultSize="0" autoFill="0" autoPict="0" macro="[0]!CurrentRefresh" altText="Reorder">
                <anchor moveWithCells="1" sizeWithCells="1">
                  <from>
                    <xdr:col>9</xdr:col>
                    <xdr:colOff>25400</xdr:colOff>
                    <xdr:row>1</xdr:row>
                    <xdr:rowOff>101600</xdr:rowOff>
                  </from>
                  <to>
                    <xdr:col>10</xdr:col>
                    <xdr:colOff>25400</xdr:colOff>
                    <xdr:row>1</xdr:row>
                    <xdr:rowOff>266700</xdr:rowOff>
                  </to>
                </anchor>
              </controlPr>
            </control>
          </mc:Choice>
        </mc:AlternateContent>
        <mc:AlternateContent xmlns:mc="http://schemas.openxmlformats.org/markup-compatibility/2006">
          <mc:Choice Requires="x14">
            <control shapeId="19575" r:id="rId10" name="Button 119">
              <controlPr defaultSize="0" autoFill="0" autoPict="0" macro="[0]!TodaysEntrys" altText="">
                <anchor>
                  <from>
                    <xdr:col>13</xdr:col>
                    <xdr:colOff>469900</xdr:colOff>
                    <xdr:row>1</xdr:row>
                    <xdr:rowOff>127000</xdr:rowOff>
                  </from>
                  <to>
                    <xdr:col>14</xdr:col>
                    <xdr:colOff>279400</xdr:colOff>
                    <xdr:row>1</xdr:row>
                    <xdr:rowOff>292100</xdr:rowOff>
                  </to>
                </anchor>
              </controlPr>
            </control>
          </mc:Choice>
        </mc:AlternateContent>
        <mc:AlternateContent xmlns:mc="http://schemas.openxmlformats.org/markup-compatibility/2006">
          <mc:Choice Requires="x14">
            <control shapeId="19576" r:id="rId11" name="Button 120">
              <controlPr defaultSize="0" autoFill="0" autoPict="0" macro="[0]!ThisMonthsEntrys" altText="This Month">
                <anchor>
                  <from>
                    <xdr:col>14</xdr:col>
                    <xdr:colOff>292100</xdr:colOff>
                    <xdr:row>1</xdr:row>
                    <xdr:rowOff>127000</xdr:rowOff>
                  </from>
                  <to>
                    <xdr:col>15</xdr:col>
                    <xdr:colOff>190500</xdr:colOff>
                    <xdr:row>1</xdr:row>
                    <xdr:rowOff>292100</xdr:rowOff>
                  </to>
                </anchor>
              </controlPr>
            </control>
          </mc:Choice>
        </mc:AlternateContent>
        <mc:AlternateContent xmlns:mc="http://schemas.openxmlformats.org/markup-compatibility/2006">
          <mc:Choice Requires="x14">
            <control shapeId="19577" r:id="rId12" name="Button 121">
              <controlPr defaultSize="0" autoFill="0" autoPict="0" macro="[0]!LastMonthsEntrys" altText="Last Month">
                <anchor>
                  <from>
                    <xdr:col>15</xdr:col>
                    <xdr:colOff>203200</xdr:colOff>
                    <xdr:row>1</xdr:row>
                    <xdr:rowOff>127000</xdr:rowOff>
                  </from>
                  <to>
                    <xdr:col>16</xdr:col>
                    <xdr:colOff>114300</xdr:colOff>
                    <xdr:row>1</xdr:row>
                    <xdr:rowOff>292100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CompletedTrades">
    <pageSetUpPr autoPageBreaks="0" fitToPage="1"/>
  </sheetPr>
  <dimension ref="A1:XFA77"/>
  <sheetViews>
    <sheetView showGridLines="0" workbookViewId="0">
      <selection activeCell="J17" sqref="J17"/>
    </sheetView>
  </sheetViews>
  <sheetFormatPr baseColWidth="10" defaultColWidth="0" defaultRowHeight="15"/>
  <cols>
    <col min="1" max="2" width="8.33203125" style="19" customWidth="1"/>
    <col min="3" max="3" width="6" style="19" customWidth="1"/>
    <col min="4" max="6" width="10.6640625" style="19" customWidth="1"/>
    <col min="7" max="7" width="8" style="19" customWidth="1"/>
    <col min="8" max="11" width="10.6640625" style="19" customWidth="1"/>
    <col min="12" max="12" width="8.33203125" style="19" customWidth="1"/>
    <col min="13" max="16" width="10.6640625" style="19" customWidth="1"/>
    <col min="17" max="17" width="11.83203125" style="19" customWidth="1"/>
    <col min="18" max="18" width="7.83203125" style="19" customWidth="1"/>
    <col min="19" max="19" width="8" style="19" customWidth="1"/>
    <col min="20" max="23" width="10.6640625" style="19" customWidth="1"/>
    <col min="24" max="24" width="9" style="19" customWidth="1"/>
    <col min="25" max="25" width="10" style="19" customWidth="1"/>
    <col min="26" max="26" width="10.6640625" style="19" customWidth="1"/>
    <col min="27" max="27" width="11.6640625" style="19" customWidth="1"/>
    <col min="28" max="28" width="9" style="19" customWidth="1"/>
    <col min="29" max="29" width="11.33203125" style="19" customWidth="1"/>
    <col min="30" max="30" width="10.33203125" style="19" customWidth="1"/>
    <col min="31" max="31" width="10" style="19" customWidth="1"/>
    <col min="32" max="32" width="10.33203125" style="19" customWidth="1"/>
    <col min="33" max="33" width="10" style="19" customWidth="1"/>
    <col min="34" max="34" width="6" style="19" customWidth="1"/>
    <col min="35" max="35" width="9.83203125" style="19" customWidth="1"/>
    <col min="36" max="52" width="9" style="19" customWidth="1"/>
    <col min="53" max="16381" width="9" hidden="1"/>
    <col min="16382" max="16384" width="4.6640625" hidden="1"/>
  </cols>
  <sheetData>
    <row r="1" spans="1:52" ht="15" customHeight="1" thickBot="1">
      <c r="A1" s="38"/>
      <c r="B1" s="46"/>
      <c r="C1" s="27"/>
      <c r="D1" s="27"/>
      <c r="E1" s="27"/>
      <c r="F1" s="27"/>
      <c r="G1" s="27"/>
      <c r="H1" s="39"/>
      <c r="I1" s="40"/>
      <c r="J1" s="41"/>
      <c r="K1" s="40"/>
      <c r="L1" s="42"/>
      <c r="M1" s="43"/>
      <c r="N1" s="43"/>
      <c r="O1" s="43"/>
      <c r="P1" s="65"/>
      <c r="Q1" s="44"/>
      <c r="R1" s="44"/>
      <c r="S1" s="44"/>
      <c r="T1" s="45"/>
      <c r="U1" s="27"/>
      <c r="V1" s="32"/>
      <c r="W1" s="46"/>
      <c r="X1" s="38"/>
      <c r="Y1" s="123" t="s">
        <v>10</v>
      </c>
      <c r="Z1" s="38"/>
      <c r="AA1" s="38"/>
      <c r="AB1" s="165"/>
      <c r="AC1" s="165"/>
      <c r="AD1" s="165"/>
      <c r="AE1" s="165"/>
      <c r="AF1" s="165"/>
      <c r="AG1" s="165"/>
      <c r="AH1"/>
      <c r="AI1"/>
      <c r="AJ1" s="126"/>
      <c r="AK1" s="126"/>
      <c r="AL1" s="126"/>
      <c r="AM1" s="126"/>
      <c r="AN1" s="126"/>
      <c r="AO1" s="126"/>
      <c r="AP1" s="126"/>
      <c r="AQ1" s="126"/>
      <c r="AR1" s="126"/>
      <c r="AS1" s="126"/>
      <c r="AT1" s="126"/>
      <c r="AU1" s="126"/>
      <c r="AV1" s="126"/>
      <c r="AW1" s="126"/>
      <c r="AX1" s="126"/>
      <c r="AY1" s="126"/>
      <c r="AZ1" s="126"/>
    </row>
    <row r="2" spans="1:52" ht="30" customHeight="1" thickBot="1">
      <c r="A2" s="283" t="s">
        <v>119</v>
      </c>
      <c r="B2" s="23"/>
      <c r="C2" s="81"/>
      <c r="D2" s="81"/>
      <c r="E2" s="81"/>
      <c r="F2" s="81"/>
      <c r="G2" s="81"/>
      <c r="H2" s="82"/>
      <c r="I2" s="83"/>
      <c r="J2" s="84"/>
      <c r="K2" s="84"/>
      <c r="L2" s="84"/>
      <c r="M2" s="84"/>
      <c r="N2" s="84"/>
      <c r="O2" s="84"/>
      <c r="P2" s="84"/>
      <c r="Q2" s="84"/>
      <c r="R2" s="84"/>
      <c r="S2" s="84"/>
      <c r="T2" s="84"/>
      <c r="U2" s="84"/>
      <c r="V2" s="85"/>
      <c r="W2" s="86"/>
      <c r="X2" s="84"/>
      <c r="Y2" s="124" t="s">
        <v>49</v>
      </c>
      <c r="Z2" s="37"/>
      <c r="AA2" s="84"/>
      <c r="AB2" s="165"/>
      <c r="AC2" s="165"/>
      <c r="AD2" s="165"/>
      <c r="AE2" s="165"/>
      <c r="AF2" s="165"/>
      <c r="AG2" s="165"/>
      <c r="AH2"/>
      <c r="AI2"/>
    </row>
    <row r="3" spans="1:52" ht="0.75" customHeight="1">
      <c r="A3" s="87"/>
      <c r="B3" s="88"/>
      <c r="C3" s="89"/>
      <c r="D3" s="89"/>
      <c r="E3" s="89"/>
      <c r="F3" s="89"/>
      <c r="G3" s="89"/>
      <c r="H3" s="90"/>
      <c r="I3" s="91"/>
      <c r="J3" s="92"/>
      <c r="K3" s="91"/>
      <c r="L3" s="93"/>
      <c r="M3" s="94"/>
      <c r="N3" s="94"/>
      <c r="O3" s="94"/>
      <c r="P3" s="94"/>
      <c r="Q3" s="95"/>
      <c r="R3" s="95"/>
      <c r="S3" s="95"/>
      <c r="T3" s="96"/>
      <c r="U3" s="97"/>
      <c r="V3" s="84"/>
      <c r="W3" s="84"/>
      <c r="X3" s="84"/>
      <c r="Y3" s="84"/>
      <c r="Z3" s="84"/>
      <c r="AA3" s="84"/>
      <c r="AB3" s="165"/>
      <c r="AC3" s="165"/>
      <c r="AD3" s="165"/>
      <c r="AE3" s="165"/>
      <c r="AF3" s="165"/>
      <c r="AG3" s="165"/>
      <c r="AH3"/>
      <c r="AI3"/>
    </row>
    <row r="4" spans="1:52" hidden="1">
      <c r="A4" s="106"/>
      <c r="B4" s="106"/>
      <c r="C4" s="106"/>
      <c r="D4" s="106"/>
      <c r="E4" s="106"/>
      <c r="F4" s="106"/>
      <c r="G4" s="106"/>
      <c r="H4" s="106"/>
      <c r="I4" s="106"/>
      <c r="J4" s="106"/>
      <c r="K4" s="106"/>
      <c r="L4" s="107"/>
      <c r="M4" s="106"/>
      <c r="N4" s="106"/>
      <c r="O4" s="106"/>
      <c r="P4" s="106"/>
      <c r="Q4" s="106"/>
      <c r="R4" s="106"/>
      <c r="S4" s="106"/>
      <c r="T4" s="106"/>
      <c r="U4" s="106"/>
      <c r="V4" s="106"/>
      <c r="W4" s="106"/>
      <c r="X4" s="106"/>
      <c r="Y4" s="106"/>
      <c r="Z4" s="106"/>
      <c r="AA4" s="108"/>
      <c r="AB4" s="165"/>
      <c r="AC4" s="165"/>
      <c r="AD4" s="165"/>
      <c r="AE4" s="165"/>
      <c r="AF4" s="165"/>
      <c r="AG4" s="165"/>
      <c r="AH4"/>
      <c r="AI4"/>
      <c r="AJ4" s="108"/>
      <c r="AK4" s="108"/>
      <c r="AL4" s="108"/>
      <c r="AM4" s="108"/>
      <c r="AN4" s="108"/>
      <c r="AO4" s="108"/>
      <c r="AP4" s="108"/>
      <c r="AQ4" s="108"/>
      <c r="AR4" s="108"/>
      <c r="AS4" s="108"/>
      <c r="AT4" s="108"/>
      <c r="AU4" s="108"/>
      <c r="AV4" s="108"/>
      <c r="AW4" s="108"/>
      <c r="AX4" s="108"/>
      <c r="AY4" s="108"/>
      <c r="AZ4" s="108"/>
    </row>
    <row r="5" spans="1:52" hidden="1">
      <c r="A5" s="98"/>
      <c r="B5" s="87"/>
      <c r="C5" s="89"/>
      <c r="D5" s="89"/>
      <c r="E5" s="89"/>
      <c r="F5" s="89"/>
      <c r="G5" s="89"/>
      <c r="H5" s="93"/>
      <c r="I5" s="91"/>
      <c r="J5" s="92"/>
      <c r="K5" s="91"/>
      <c r="L5" s="95"/>
      <c r="M5" s="95"/>
      <c r="N5" s="93"/>
      <c r="O5" s="91"/>
      <c r="P5" s="91"/>
      <c r="Q5" s="91"/>
      <c r="R5" s="91"/>
      <c r="S5" s="99"/>
      <c r="T5" s="91"/>
      <c r="U5" s="100"/>
      <c r="V5" s="101"/>
      <c r="W5" s="102"/>
      <c r="X5" s="103"/>
      <c r="Y5" s="104"/>
      <c r="Z5" s="105"/>
      <c r="AA5" s="84"/>
      <c r="AB5" s="165"/>
      <c r="AC5" s="165"/>
      <c r="AD5" s="165"/>
      <c r="AE5" s="165"/>
      <c r="AF5" s="165"/>
      <c r="AG5" s="165"/>
      <c r="AH5"/>
      <c r="AI5"/>
      <c r="AJ5" s="84"/>
      <c r="AK5" s="84"/>
      <c r="AL5" s="84"/>
      <c r="AM5" s="84"/>
      <c r="AN5" s="84"/>
      <c r="AO5" s="84"/>
      <c r="AP5" s="84"/>
      <c r="AQ5" s="84"/>
      <c r="AR5" s="84"/>
      <c r="AS5" s="84"/>
      <c r="AT5" s="84"/>
      <c r="AU5" s="84"/>
      <c r="AV5" s="84"/>
      <c r="AW5" s="84"/>
      <c r="AX5" s="84"/>
      <c r="AY5" s="84"/>
      <c r="AZ5" s="84"/>
    </row>
    <row r="6" spans="1:52" ht="17.25" customHeight="1">
      <c r="A6" s="148" t="s">
        <v>32</v>
      </c>
      <c r="B6" s="163"/>
      <c r="C6" s="87"/>
      <c r="D6" s="205"/>
      <c r="E6" s="205"/>
      <c r="F6" s="275"/>
      <c r="G6" s="276"/>
      <c r="H6" s="93"/>
      <c r="I6" s="91"/>
      <c r="J6" s="33" t="s">
        <v>9</v>
      </c>
      <c r="K6" s="34">
        <f>SUBTOTAL(109,Complete_In)</f>
        <v>0</v>
      </c>
      <c r="L6" s="12"/>
      <c r="M6" s="13"/>
      <c r="O6" s="13"/>
      <c r="Q6" s="35">
        <f>SUBTOTAL(109,Complete_Out)</f>
        <v>0</v>
      </c>
      <c r="R6" s="164"/>
      <c r="S6" s="84"/>
      <c r="T6" s="36">
        <f>SUBTOTAL(109,Complete_ROI)</f>
        <v>0</v>
      </c>
      <c r="V6" s="53">
        <f>IFERROR(T6/K6,0)</f>
        <v>0</v>
      </c>
      <c r="X6" s="84"/>
      <c r="Y6" s="84"/>
      <c r="Z6" s="36">
        <f>SUBTOTAL(109,Complete_ROI_with_Dividend)</f>
        <v>0</v>
      </c>
      <c r="AA6" s="84"/>
      <c r="AB6" s="53">
        <f>IFERROR(Z6/K6,0)</f>
        <v>0</v>
      </c>
      <c r="AC6" s="165"/>
      <c r="AD6" s="165"/>
      <c r="AE6" s="165"/>
      <c r="AF6" s="165"/>
      <c r="AG6" s="165"/>
      <c r="AH6"/>
      <c r="AI6"/>
    </row>
    <row r="7" spans="1:52" ht="4.25" customHeight="1">
      <c r="A7" s="254"/>
      <c r="B7" s="255"/>
      <c r="C7" s="255"/>
      <c r="D7" s="255"/>
      <c r="E7" s="255"/>
      <c r="F7" s="255"/>
      <c r="G7" s="255"/>
      <c r="H7" s="256"/>
      <c r="I7" s="83"/>
      <c r="J7" s="257"/>
      <c r="K7" s="83"/>
      <c r="L7" s="256"/>
      <c r="M7" s="258"/>
      <c r="N7" s="83"/>
      <c r="O7" s="83"/>
      <c r="P7" s="83"/>
      <c r="Q7" s="259"/>
      <c r="R7" s="260"/>
      <c r="S7" s="260"/>
      <c r="T7" s="261"/>
      <c r="U7" s="262"/>
      <c r="V7" s="262"/>
      <c r="W7" s="263"/>
      <c r="X7" s="264"/>
      <c r="Y7" s="264"/>
      <c r="Z7" s="264"/>
      <c r="AA7" s="264"/>
      <c r="AB7" s="165"/>
      <c r="AC7" s="165"/>
      <c r="AD7" s="165"/>
      <c r="AE7" s="165"/>
      <c r="AF7" s="165"/>
      <c r="AG7" s="165"/>
      <c r="AH7"/>
      <c r="AI7"/>
    </row>
    <row r="8" spans="1:52" ht="25.25" customHeight="1">
      <c r="A8" s="237" t="s">
        <v>10</v>
      </c>
      <c r="B8" s="237" t="s">
        <v>0</v>
      </c>
      <c r="C8" s="237" t="s">
        <v>44</v>
      </c>
      <c r="D8" s="238" t="s">
        <v>1</v>
      </c>
      <c r="E8" s="238" t="s">
        <v>2</v>
      </c>
      <c r="F8" s="238" t="s">
        <v>3</v>
      </c>
      <c r="G8" s="238" t="s">
        <v>48</v>
      </c>
      <c r="H8" s="238" t="s">
        <v>36</v>
      </c>
      <c r="I8" s="237" t="s">
        <v>37</v>
      </c>
      <c r="J8" s="237" t="s">
        <v>115</v>
      </c>
      <c r="K8" s="239" t="s">
        <v>4</v>
      </c>
      <c r="L8" s="240" t="s">
        <v>20</v>
      </c>
      <c r="M8" s="239" t="s">
        <v>27</v>
      </c>
      <c r="N8" s="239" t="s">
        <v>83</v>
      </c>
      <c r="O8" s="238" t="s">
        <v>38</v>
      </c>
      <c r="P8" s="237" t="s">
        <v>39</v>
      </c>
      <c r="Q8" s="239" t="s">
        <v>5</v>
      </c>
      <c r="R8" s="237" t="s">
        <v>34</v>
      </c>
      <c r="S8" s="237" t="s">
        <v>31</v>
      </c>
      <c r="T8" s="239" t="s">
        <v>6</v>
      </c>
      <c r="U8" s="242" t="s">
        <v>28</v>
      </c>
      <c r="V8" s="239" t="s">
        <v>7</v>
      </c>
      <c r="W8" s="239" t="s">
        <v>29</v>
      </c>
      <c r="X8" s="237" t="s">
        <v>18</v>
      </c>
      <c r="Y8" s="241" t="s">
        <v>15</v>
      </c>
      <c r="Z8" s="239" t="s">
        <v>89</v>
      </c>
      <c r="AA8" s="242" t="s">
        <v>143</v>
      </c>
      <c r="AB8" s="242" t="s">
        <v>144</v>
      </c>
      <c r="AC8" s="239" t="s">
        <v>90</v>
      </c>
      <c r="AD8" s="239" t="s">
        <v>92</v>
      </c>
      <c r="AE8" s="239" t="s">
        <v>82</v>
      </c>
      <c r="AF8" s="239" t="s">
        <v>84</v>
      </c>
      <c r="AG8" s="239" t="s">
        <v>85</v>
      </c>
      <c r="AH8" s="239" t="s">
        <v>17</v>
      </c>
      <c r="AI8" s="239" t="s">
        <v>11</v>
      </c>
      <c r="AJ8" s="243" t="s">
        <v>8</v>
      </c>
      <c r="AK8" s="244" t="s">
        <v>46</v>
      </c>
      <c r="AL8"/>
      <c r="AM8"/>
      <c r="AN8"/>
      <c r="AO8"/>
      <c r="AP8"/>
      <c r="AQ8"/>
      <c r="AR8"/>
      <c r="AS8"/>
      <c r="AT8"/>
      <c r="AU8"/>
      <c r="AV8"/>
      <c r="AW8"/>
      <c r="AX8"/>
      <c r="AY8"/>
      <c r="AZ8"/>
    </row>
    <row r="9" spans="1:52">
      <c r="A9" s="6"/>
      <c r="B9" s="161"/>
      <c r="C9" s="161"/>
      <c r="D9" s="303"/>
      <c r="E9" s="5"/>
      <c r="F9" s="5"/>
      <c r="G9" s="161"/>
      <c r="H9" s="49"/>
      <c r="I9" s="50"/>
      <c r="J9" s="129"/>
      <c r="K9" s="50"/>
      <c r="L9" s="52"/>
      <c r="M9" s="52"/>
      <c r="N9" s="52"/>
      <c r="O9" s="221"/>
      <c r="P9" s="51"/>
      <c r="Q9" s="50"/>
      <c r="R9" s="116"/>
      <c r="S9" s="50"/>
      <c r="T9" s="68"/>
      <c r="U9" s="68"/>
      <c r="V9" s="52"/>
      <c r="W9" s="52"/>
      <c r="X9" s="51"/>
      <c r="Y9" s="51"/>
      <c r="Z9" s="146"/>
      <c r="AA9" s="146"/>
      <c r="AB9" s="146"/>
      <c r="AC9" s="69"/>
      <c r="AD9" s="52"/>
      <c r="AE9" s="51"/>
      <c r="AF9" s="51"/>
      <c r="AG9" s="51"/>
      <c r="AH9" s="52"/>
      <c r="AI9" s="70"/>
      <c r="AJ9" s="14"/>
      <c r="AK9" s="175"/>
    </row>
    <row r="10" spans="1:52">
      <c r="A10" s="6"/>
      <c r="B10" s="161"/>
      <c r="C10" s="161"/>
      <c r="D10" s="5"/>
      <c r="E10" s="5"/>
      <c r="F10" s="5"/>
      <c r="G10" s="161"/>
      <c r="H10" s="49"/>
      <c r="I10" s="50"/>
      <c r="J10" s="129"/>
      <c r="K10" s="50"/>
      <c r="L10" s="52"/>
      <c r="M10" s="52"/>
      <c r="N10" s="52"/>
      <c r="O10" s="221"/>
      <c r="P10" s="51"/>
      <c r="Q10" s="50"/>
      <c r="R10" s="116"/>
      <c r="S10" s="50"/>
      <c r="T10" s="68"/>
      <c r="U10" s="68"/>
      <c r="V10" s="52"/>
      <c r="W10" s="52"/>
      <c r="X10" s="51"/>
      <c r="Y10" s="51"/>
      <c r="Z10" s="146"/>
      <c r="AA10" s="146"/>
      <c r="AB10" s="69"/>
      <c r="AC10" s="52"/>
      <c r="AD10" s="51"/>
      <c r="AE10" s="51"/>
      <c r="AF10" s="51"/>
      <c r="AG10" s="52"/>
      <c r="AH10" s="70"/>
      <c r="AI10" s="14"/>
      <c r="AJ10" s="175"/>
    </row>
    <row r="11" spans="1:52">
      <c r="A11" s="6"/>
      <c r="B11" s="161"/>
      <c r="C11" s="161"/>
      <c r="D11" s="5"/>
      <c r="E11" s="5"/>
      <c r="F11" s="5"/>
      <c r="G11" s="161"/>
      <c r="H11" s="49"/>
      <c r="I11" s="50"/>
      <c r="J11" s="129"/>
      <c r="K11" s="50"/>
      <c r="L11" s="52"/>
      <c r="M11" s="52"/>
      <c r="N11" s="52"/>
      <c r="O11" s="221"/>
      <c r="P11" s="51"/>
      <c r="Q11" s="50"/>
      <c r="R11" s="116"/>
      <c r="S11" s="50"/>
      <c r="T11" s="68"/>
      <c r="U11" s="68"/>
      <c r="V11" s="52"/>
      <c r="W11" s="52"/>
      <c r="X11" s="51"/>
      <c r="Y11" s="51"/>
      <c r="Z11" s="146"/>
      <c r="AA11" s="146"/>
      <c r="AB11" s="69"/>
      <c r="AC11" s="52"/>
      <c r="AD11" s="51"/>
      <c r="AE11" s="51"/>
      <c r="AF11" s="51"/>
      <c r="AG11" s="52"/>
      <c r="AH11" s="70"/>
      <c r="AI11" s="14"/>
      <c r="AJ11" s="175"/>
    </row>
    <row r="12" spans="1:52">
      <c r="A12" s="6"/>
      <c r="B12" s="161"/>
      <c r="C12" s="161"/>
      <c r="D12" s="5"/>
      <c r="E12" s="5"/>
      <c r="F12" s="5"/>
      <c r="G12" s="161"/>
      <c r="H12" s="49"/>
      <c r="I12" s="50"/>
      <c r="J12" s="129"/>
      <c r="K12" s="50"/>
      <c r="L12" s="52"/>
      <c r="M12" s="52"/>
      <c r="N12" s="52"/>
      <c r="O12" s="221"/>
      <c r="P12" s="51"/>
      <c r="Q12" s="50"/>
      <c r="R12" s="116"/>
      <c r="S12" s="50"/>
      <c r="T12" s="68"/>
      <c r="U12" s="68"/>
      <c r="V12" s="52"/>
      <c r="W12" s="52"/>
      <c r="X12" s="51"/>
      <c r="Y12" s="51"/>
      <c r="Z12" s="146"/>
      <c r="AA12" s="146"/>
      <c r="AB12" s="69"/>
      <c r="AC12" s="52"/>
      <c r="AD12" s="51"/>
      <c r="AE12" s="51"/>
      <c r="AF12" s="51"/>
      <c r="AG12" s="52"/>
      <c r="AH12" s="70"/>
      <c r="AI12" s="14"/>
      <c r="AJ12" s="175"/>
    </row>
    <row r="13" spans="1:52">
      <c r="A13" s="6"/>
      <c r="B13" s="161"/>
      <c r="C13" s="161"/>
      <c r="D13" s="5"/>
      <c r="E13" s="5"/>
      <c r="F13" s="5"/>
      <c r="G13" s="161"/>
      <c r="H13" s="49"/>
      <c r="I13" s="50"/>
      <c r="J13" s="129"/>
      <c r="K13" s="50"/>
      <c r="L13" s="52"/>
      <c r="M13" s="52"/>
      <c r="N13" s="52"/>
      <c r="O13" s="221"/>
      <c r="P13" s="51"/>
      <c r="Q13" s="50"/>
      <c r="R13" s="116"/>
      <c r="S13" s="50"/>
      <c r="T13" s="68"/>
      <c r="U13" s="68"/>
      <c r="V13" s="52"/>
      <c r="W13" s="52"/>
      <c r="X13" s="50"/>
      <c r="Y13" s="50"/>
      <c r="Z13" s="68"/>
      <c r="AA13" s="146"/>
      <c r="AB13" s="69"/>
      <c r="AC13" s="52"/>
      <c r="AD13" s="51"/>
      <c r="AE13" s="51"/>
      <c r="AF13" s="51"/>
      <c r="AG13" s="52"/>
      <c r="AH13" s="70"/>
      <c r="AI13" s="14"/>
      <c r="AJ13" s="175"/>
    </row>
    <row r="14" spans="1:52">
      <c r="A14" s="6"/>
      <c r="B14" s="161"/>
      <c r="C14" s="161"/>
      <c r="D14" s="5"/>
      <c r="E14" s="5"/>
      <c r="F14" s="5"/>
      <c r="G14" s="161"/>
      <c r="H14" s="49"/>
      <c r="I14" s="50"/>
      <c r="J14" s="129"/>
      <c r="K14" s="50"/>
      <c r="L14" s="52"/>
      <c r="M14" s="52"/>
      <c r="N14" s="52"/>
      <c r="O14" s="221"/>
      <c r="P14" s="51"/>
      <c r="Q14" s="50"/>
      <c r="R14" s="116"/>
      <c r="S14" s="50"/>
      <c r="T14" s="68"/>
      <c r="U14" s="68"/>
      <c r="V14" s="52"/>
      <c r="W14" s="52"/>
      <c r="X14" s="51"/>
      <c r="Y14" s="51"/>
      <c r="Z14" s="68"/>
      <c r="AA14" s="146"/>
      <c r="AB14" s="69"/>
      <c r="AC14" s="52"/>
      <c r="AD14" s="51"/>
      <c r="AE14" s="51"/>
      <c r="AF14" s="51"/>
      <c r="AG14" s="52"/>
      <c r="AH14" s="70"/>
      <c r="AI14" s="14"/>
      <c r="AJ14" s="175"/>
    </row>
    <row r="15" spans="1:52">
      <c r="A15" s="6"/>
      <c r="B15" s="161"/>
      <c r="C15" s="161"/>
      <c r="D15" s="5"/>
      <c r="E15" s="5"/>
      <c r="F15" s="5"/>
      <c r="G15" s="161"/>
      <c r="H15" s="49"/>
      <c r="I15" s="50"/>
      <c r="J15" s="129"/>
      <c r="K15" s="50"/>
      <c r="L15" s="52"/>
      <c r="M15" s="52"/>
      <c r="N15" s="52"/>
      <c r="O15" s="221"/>
      <c r="P15" s="51"/>
      <c r="Q15" s="50"/>
      <c r="R15" s="116"/>
      <c r="S15" s="50"/>
      <c r="T15" s="68"/>
      <c r="U15" s="68"/>
      <c r="V15" s="52"/>
      <c r="W15" s="52"/>
      <c r="X15" s="51"/>
      <c r="Y15" s="51"/>
      <c r="Z15" s="146"/>
      <c r="AA15" s="146"/>
      <c r="AB15" s="69"/>
      <c r="AC15" s="52"/>
      <c r="AD15" s="51"/>
      <c r="AE15" s="51"/>
      <c r="AF15" s="51"/>
      <c r="AG15" s="52"/>
      <c r="AH15" s="70"/>
      <c r="AI15" s="14"/>
      <c r="AJ15" s="175"/>
    </row>
    <row r="16" spans="1:52">
      <c r="A16" s="6"/>
      <c r="B16" s="161"/>
      <c r="C16" s="161"/>
      <c r="D16" s="5"/>
      <c r="E16" s="5"/>
      <c r="F16" s="5"/>
      <c r="G16" s="161"/>
      <c r="H16" s="49"/>
      <c r="I16" s="50"/>
      <c r="J16" s="129"/>
      <c r="K16" s="50"/>
      <c r="L16" s="52"/>
      <c r="M16" s="52"/>
      <c r="N16" s="52"/>
      <c r="O16" s="221"/>
      <c r="P16" s="51"/>
      <c r="Q16" s="50"/>
      <c r="R16" s="116"/>
      <c r="S16" s="50"/>
      <c r="T16" s="68"/>
      <c r="U16" s="68"/>
      <c r="V16" s="52"/>
      <c r="W16" s="52"/>
      <c r="X16" s="51"/>
      <c r="Y16" s="51"/>
      <c r="Z16" s="146"/>
      <c r="AA16" s="146"/>
      <c r="AB16" s="69"/>
      <c r="AC16" s="52"/>
      <c r="AD16" s="51"/>
      <c r="AE16" s="51"/>
      <c r="AF16" s="51"/>
      <c r="AG16" s="52"/>
      <c r="AH16" s="70"/>
      <c r="AI16" s="14"/>
      <c r="AJ16" s="175"/>
    </row>
    <row r="17" spans="1:36">
      <c r="A17" s="6"/>
      <c r="B17" s="161"/>
      <c r="C17" s="161"/>
      <c r="D17" s="5"/>
      <c r="E17" s="5"/>
      <c r="F17" s="5"/>
      <c r="G17" s="161"/>
      <c r="H17" s="49"/>
      <c r="I17" s="50"/>
      <c r="J17" s="129"/>
      <c r="K17" s="50"/>
      <c r="L17" s="52"/>
      <c r="M17" s="52"/>
      <c r="N17" s="52"/>
      <c r="O17" s="221"/>
      <c r="P17" s="51"/>
      <c r="Q17" s="50"/>
      <c r="R17" s="116"/>
      <c r="S17" s="50"/>
      <c r="T17" s="68"/>
      <c r="U17" s="68"/>
      <c r="V17" s="52"/>
      <c r="W17" s="52"/>
      <c r="X17" s="50"/>
      <c r="Y17" s="50"/>
      <c r="Z17" s="68"/>
      <c r="AA17" s="146"/>
      <c r="AB17" s="69"/>
      <c r="AC17" s="52"/>
      <c r="AD17" s="51"/>
      <c r="AE17" s="51"/>
      <c r="AF17" s="51"/>
      <c r="AG17" s="52"/>
      <c r="AH17" s="70"/>
      <c r="AI17" s="14"/>
      <c r="AJ17" s="175"/>
    </row>
    <row r="18" spans="1:36">
      <c r="A18" s="6"/>
      <c r="B18" s="161"/>
      <c r="C18" s="161"/>
      <c r="D18" s="5"/>
      <c r="E18" s="5"/>
      <c r="F18" s="5"/>
      <c r="G18" s="161"/>
      <c r="H18" s="49"/>
      <c r="I18" s="50"/>
      <c r="J18" s="129"/>
      <c r="K18" s="50"/>
      <c r="L18" s="52"/>
      <c r="M18" s="52"/>
      <c r="N18" s="52"/>
      <c r="O18" s="221"/>
      <c r="P18" s="51"/>
      <c r="Q18" s="50"/>
      <c r="R18" s="116"/>
      <c r="S18" s="50"/>
      <c r="T18" s="68"/>
      <c r="U18" s="68"/>
      <c r="V18" s="52"/>
      <c r="W18" s="52"/>
      <c r="X18" s="51"/>
      <c r="Y18" s="51"/>
      <c r="Z18" s="146"/>
      <c r="AA18" s="146"/>
      <c r="AB18" s="69"/>
      <c r="AC18" s="52"/>
      <c r="AD18" s="51"/>
      <c r="AE18" s="51"/>
      <c r="AF18" s="51"/>
      <c r="AG18" s="52"/>
      <c r="AH18" s="70"/>
      <c r="AI18" s="14"/>
      <c r="AJ18" s="175"/>
    </row>
    <row r="19" spans="1:36">
      <c r="A19" s="6"/>
      <c r="B19" s="161"/>
      <c r="C19" s="161"/>
      <c r="D19" s="5"/>
      <c r="E19" s="5"/>
      <c r="F19" s="5"/>
      <c r="G19" s="161"/>
      <c r="H19" s="49"/>
      <c r="I19" s="50"/>
      <c r="J19" s="129"/>
      <c r="K19" s="50"/>
      <c r="L19" s="52"/>
      <c r="M19" s="52"/>
      <c r="N19" s="52"/>
      <c r="O19" s="221"/>
      <c r="P19" s="51"/>
      <c r="Q19" s="50"/>
      <c r="R19" s="116"/>
      <c r="S19" s="50"/>
      <c r="T19" s="68"/>
      <c r="U19" s="68"/>
      <c r="V19" s="52"/>
      <c r="W19" s="52"/>
      <c r="X19" s="51"/>
      <c r="Y19" s="51"/>
      <c r="Z19" s="146"/>
      <c r="AA19" s="146"/>
      <c r="AB19" s="69"/>
      <c r="AC19" s="52"/>
      <c r="AD19" s="51"/>
      <c r="AE19" s="51"/>
      <c r="AF19" s="51"/>
      <c r="AG19" s="52"/>
      <c r="AH19" s="70"/>
      <c r="AI19" s="14"/>
      <c r="AJ19" s="175"/>
    </row>
    <row r="20" spans="1:36">
      <c r="A20" s="6"/>
      <c r="B20" s="5"/>
      <c r="C20" s="5"/>
      <c r="D20" s="5"/>
      <c r="E20" s="5"/>
      <c r="F20" s="5"/>
      <c r="G20" s="5"/>
      <c r="H20" s="49"/>
      <c r="I20" s="50"/>
      <c r="J20" s="129"/>
      <c r="K20" s="50"/>
      <c r="L20" s="52"/>
      <c r="M20" s="52"/>
      <c r="N20" s="49"/>
      <c r="O20" s="51"/>
      <c r="P20" s="50"/>
      <c r="Q20" s="116"/>
      <c r="R20" s="50"/>
      <c r="S20" s="50"/>
      <c r="T20" s="50"/>
      <c r="U20" s="68"/>
      <c r="V20" s="51"/>
      <c r="W20" s="69"/>
      <c r="X20" s="52"/>
      <c r="Y20" s="52"/>
      <c r="Z20" s="70"/>
      <c r="AA20" s="14"/>
    </row>
    <row r="21" spans="1:36">
      <c r="A21" s="6"/>
      <c r="B21" s="5"/>
      <c r="C21" s="5"/>
      <c r="D21" s="5"/>
      <c r="E21" s="5"/>
      <c r="F21" s="5"/>
      <c r="G21" s="5"/>
      <c r="H21" s="49"/>
      <c r="I21" s="50"/>
      <c r="J21" s="129"/>
      <c r="K21" s="50"/>
      <c r="L21" s="52"/>
      <c r="M21" s="52"/>
      <c r="N21" s="49"/>
      <c r="O21" s="51"/>
      <c r="P21" s="50"/>
      <c r="Q21" s="116"/>
      <c r="R21" s="50"/>
      <c r="S21" s="50"/>
      <c r="T21" s="50"/>
      <c r="U21" s="68"/>
      <c r="V21" s="51"/>
      <c r="W21" s="69"/>
      <c r="X21" s="52"/>
      <c r="Y21" s="52"/>
      <c r="Z21" s="70"/>
      <c r="AA21" s="14"/>
    </row>
    <row r="22" spans="1:36">
      <c r="A22" s="6"/>
      <c r="B22" s="5"/>
      <c r="C22" s="5"/>
      <c r="D22" s="5"/>
      <c r="E22" s="5"/>
      <c r="F22" s="5"/>
      <c r="G22" s="5"/>
      <c r="H22" s="49"/>
      <c r="I22" s="50"/>
      <c r="J22" s="129"/>
      <c r="K22" s="50"/>
      <c r="L22" s="52"/>
      <c r="M22" s="52"/>
      <c r="N22" s="49"/>
      <c r="O22" s="51"/>
      <c r="P22" s="50"/>
      <c r="Q22" s="116"/>
      <c r="R22" s="50"/>
      <c r="S22" s="50"/>
      <c r="T22" s="50"/>
      <c r="U22" s="68"/>
      <c r="V22" s="51"/>
      <c r="W22" s="69"/>
      <c r="X22" s="52"/>
      <c r="Y22" s="52"/>
      <c r="Z22" s="70"/>
      <c r="AA22" s="14"/>
    </row>
    <row r="23" spans="1:36">
      <c r="A23" s="6"/>
      <c r="B23" s="5"/>
      <c r="C23" s="5"/>
      <c r="D23" s="5"/>
      <c r="E23" s="5"/>
      <c r="F23" s="5"/>
      <c r="G23" s="5"/>
      <c r="H23" s="49"/>
      <c r="I23" s="50"/>
      <c r="J23" s="129"/>
      <c r="K23" s="50"/>
      <c r="L23" s="52"/>
      <c r="M23" s="52"/>
      <c r="N23" s="49"/>
      <c r="O23" s="51"/>
      <c r="P23" s="50"/>
      <c r="Q23" s="116"/>
      <c r="R23" s="50"/>
      <c r="S23" s="50"/>
      <c r="T23" s="50"/>
      <c r="U23" s="68"/>
      <c r="V23" s="51"/>
      <c r="W23" s="69"/>
      <c r="X23" s="52"/>
      <c r="Y23" s="52"/>
      <c r="Z23" s="70"/>
      <c r="AA23" s="14"/>
    </row>
    <row r="24" spans="1:36">
      <c r="A24" s="6"/>
      <c r="B24" s="5"/>
      <c r="C24" s="5"/>
      <c r="D24" s="5"/>
      <c r="E24" s="5"/>
      <c r="F24" s="5"/>
      <c r="G24" s="5"/>
      <c r="H24" s="49"/>
      <c r="I24" s="50"/>
      <c r="J24" s="129"/>
      <c r="K24" s="50"/>
      <c r="L24" s="52"/>
      <c r="M24" s="52"/>
      <c r="N24" s="49"/>
      <c r="O24" s="51"/>
      <c r="P24" s="50"/>
      <c r="Q24" s="116"/>
      <c r="R24" s="50"/>
      <c r="S24" s="50"/>
      <c r="T24" s="50"/>
      <c r="U24" s="68"/>
      <c r="V24" s="51"/>
      <c r="W24" s="69"/>
      <c r="X24" s="52"/>
      <c r="Y24" s="52"/>
      <c r="Z24" s="70"/>
      <c r="AA24" s="14"/>
    </row>
    <row r="25" spans="1:36">
      <c r="A25" s="6"/>
      <c r="B25" s="5"/>
      <c r="C25" s="5"/>
      <c r="D25" s="5"/>
      <c r="E25" s="5"/>
      <c r="F25" s="5"/>
      <c r="G25" s="5"/>
      <c r="H25" s="49"/>
      <c r="I25" s="50"/>
      <c r="J25" s="129"/>
      <c r="K25" s="50"/>
      <c r="L25" s="52"/>
      <c r="M25" s="52"/>
      <c r="N25" s="49"/>
      <c r="O25" s="51"/>
      <c r="P25" s="50"/>
      <c r="Q25" s="116"/>
      <c r="R25" s="50"/>
      <c r="S25" s="50"/>
      <c r="T25" s="50"/>
      <c r="U25" s="68"/>
      <c r="V25" s="51"/>
      <c r="W25" s="69"/>
      <c r="X25" s="52"/>
      <c r="Y25" s="52"/>
      <c r="Z25" s="70"/>
      <c r="AA25" s="14"/>
    </row>
    <row r="26" spans="1:36">
      <c r="A26" s="6"/>
      <c r="B26" s="5"/>
      <c r="C26" s="5"/>
      <c r="D26" s="5"/>
      <c r="E26" s="5"/>
      <c r="F26" s="5"/>
      <c r="G26" s="5"/>
      <c r="H26" s="49"/>
      <c r="I26" s="50"/>
      <c r="J26" s="129"/>
      <c r="K26" s="50"/>
      <c r="L26" s="52"/>
      <c r="M26" s="52"/>
      <c r="N26" s="49"/>
      <c r="O26" s="51"/>
      <c r="P26" s="50"/>
      <c r="Q26" s="116"/>
      <c r="R26" s="50"/>
      <c r="S26" s="50"/>
      <c r="T26" s="50"/>
      <c r="U26" s="68"/>
      <c r="V26" s="51"/>
      <c r="W26" s="69"/>
      <c r="X26" s="52"/>
      <c r="Y26" s="52"/>
      <c r="Z26" s="70"/>
      <c r="AA26" s="14"/>
    </row>
    <row r="27" spans="1:36">
      <c r="A27" s="6"/>
      <c r="B27" s="5"/>
      <c r="C27" s="5"/>
      <c r="D27" s="5"/>
      <c r="E27" s="5"/>
      <c r="F27" s="5"/>
      <c r="G27" s="5"/>
      <c r="H27" s="49"/>
      <c r="I27" s="50"/>
      <c r="J27" s="129"/>
      <c r="K27" s="50"/>
      <c r="L27" s="52"/>
      <c r="M27" s="52"/>
      <c r="N27" s="49"/>
      <c r="O27" s="51"/>
      <c r="P27" s="50"/>
      <c r="Q27" s="116"/>
      <c r="R27" s="50"/>
      <c r="S27" s="50"/>
      <c r="T27" s="50"/>
      <c r="U27" s="68"/>
      <c r="V27" s="51"/>
      <c r="W27" s="69"/>
      <c r="X27" s="52"/>
      <c r="Y27" s="52"/>
      <c r="Z27" s="70"/>
      <c r="AA27" s="14"/>
    </row>
    <row r="28" spans="1:36">
      <c r="A28" s="6"/>
      <c r="B28" s="5"/>
      <c r="C28" s="5"/>
      <c r="D28" s="5"/>
      <c r="E28" s="5"/>
      <c r="F28" s="5"/>
      <c r="G28" s="5"/>
      <c r="H28" s="49"/>
      <c r="I28" s="50"/>
      <c r="J28" s="129"/>
      <c r="K28" s="50"/>
      <c r="L28" s="52"/>
      <c r="M28" s="52"/>
      <c r="N28" s="49"/>
      <c r="O28" s="51"/>
      <c r="P28" s="50"/>
      <c r="Q28" s="116"/>
      <c r="R28" s="50"/>
      <c r="S28" s="50"/>
      <c r="T28" s="50"/>
      <c r="U28" s="68"/>
      <c r="V28" s="51"/>
      <c r="W28" s="69"/>
      <c r="X28" s="52"/>
      <c r="Y28" s="52"/>
      <c r="Z28" s="70"/>
      <c r="AA28" s="14"/>
    </row>
    <row r="29" spans="1:36">
      <c r="A29" s="6"/>
      <c r="B29" s="5"/>
      <c r="C29" s="5"/>
      <c r="D29" s="5"/>
      <c r="E29" s="5"/>
      <c r="F29" s="5"/>
      <c r="G29" s="5"/>
      <c r="H29" s="49"/>
      <c r="I29" s="50"/>
      <c r="J29" s="129"/>
      <c r="K29" s="50"/>
      <c r="L29" s="52"/>
      <c r="M29" s="52"/>
      <c r="N29" s="49"/>
      <c r="O29" s="51"/>
      <c r="P29" s="50"/>
      <c r="Q29" s="116"/>
      <c r="R29" s="50"/>
      <c r="S29" s="50"/>
      <c r="T29" s="50"/>
      <c r="U29" s="68"/>
      <c r="V29" s="51"/>
      <c r="W29" s="69"/>
      <c r="X29" s="52"/>
      <c r="Y29" s="52"/>
      <c r="Z29" s="70"/>
      <c r="AA29" s="14"/>
    </row>
    <row r="30" spans="1:36">
      <c r="A30" s="6"/>
      <c r="B30" s="5"/>
      <c r="C30" s="5"/>
      <c r="D30" s="5"/>
      <c r="E30" s="5"/>
      <c r="F30" s="5"/>
      <c r="G30" s="5"/>
      <c r="H30" s="49"/>
      <c r="I30" s="50"/>
      <c r="J30" s="129"/>
      <c r="K30" s="50"/>
      <c r="L30" s="52"/>
      <c r="M30" s="52"/>
      <c r="N30" s="49"/>
      <c r="O30" s="51"/>
      <c r="P30" s="50"/>
      <c r="Q30" s="116"/>
      <c r="R30" s="50"/>
      <c r="S30" s="50"/>
      <c r="T30" s="50"/>
      <c r="U30" s="68"/>
      <c r="V30" s="51"/>
      <c r="W30" s="69"/>
      <c r="X30" s="52"/>
      <c r="Y30" s="52"/>
      <c r="Z30" s="70"/>
      <c r="AA30" s="14"/>
    </row>
    <row r="31" spans="1:36">
      <c r="A31" s="6"/>
      <c r="B31" s="5"/>
      <c r="C31" s="5"/>
      <c r="D31" s="5"/>
      <c r="E31" s="5"/>
      <c r="F31" s="5"/>
      <c r="G31" s="5"/>
      <c r="H31" s="49"/>
      <c r="I31" s="50"/>
      <c r="J31" s="129"/>
      <c r="K31" s="50"/>
      <c r="L31" s="52"/>
      <c r="M31" s="52"/>
      <c r="N31" s="49"/>
      <c r="O31" s="51"/>
      <c r="P31" s="50"/>
      <c r="Q31" s="116"/>
      <c r="R31" s="50"/>
      <c r="S31" s="50"/>
      <c r="T31" s="50"/>
      <c r="U31" s="68"/>
      <c r="V31" s="51"/>
      <c r="W31" s="69"/>
      <c r="X31" s="52"/>
      <c r="Y31" s="52"/>
      <c r="Z31" s="70"/>
      <c r="AA31" s="14"/>
    </row>
    <row r="32" spans="1:36">
      <c r="A32" s="6"/>
      <c r="B32" s="5"/>
      <c r="C32" s="5"/>
      <c r="D32" s="5"/>
      <c r="E32" s="5"/>
      <c r="F32" s="5"/>
      <c r="G32" s="5"/>
      <c r="H32" s="49"/>
      <c r="I32" s="50"/>
      <c r="J32" s="129"/>
      <c r="K32" s="50"/>
      <c r="L32" s="52"/>
      <c r="M32" s="52"/>
      <c r="N32" s="49"/>
      <c r="O32" s="51"/>
      <c r="P32" s="50"/>
      <c r="Q32" s="116"/>
      <c r="R32" s="50"/>
      <c r="S32" s="50"/>
      <c r="T32" s="50"/>
      <c r="U32" s="68"/>
      <c r="V32" s="51"/>
      <c r="W32" s="69"/>
      <c r="X32" s="52"/>
      <c r="Y32" s="52"/>
      <c r="Z32" s="70"/>
      <c r="AA32" s="14"/>
    </row>
    <row r="33" spans="1:27">
      <c r="A33" s="6"/>
      <c r="B33" s="5"/>
      <c r="C33" s="5"/>
      <c r="D33" s="5"/>
      <c r="E33" s="5"/>
      <c r="F33" s="5"/>
      <c r="G33" s="5"/>
      <c r="H33" s="49"/>
      <c r="I33" s="50"/>
      <c r="J33" s="129"/>
      <c r="K33" s="50"/>
      <c r="L33" s="52"/>
      <c r="M33" s="52"/>
      <c r="N33" s="49"/>
      <c r="O33" s="51"/>
      <c r="P33" s="50"/>
      <c r="Q33" s="116"/>
      <c r="R33" s="50"/>
      <c r="S33" s="50"/>
      <c r="T33" s="50"/>
      <c r="U33" s="68"/>
      <c r="V33" s="51"/>
      <c r="W33" s="69"/>
      <c r="X33" s="52"/>
      <c r="Y33" s="52"/>
      <c r="Z33" s="70"/>
      <c r="AA33" s="14"/>
    </row>
    <row r="34" spans="1:27">
      <c r="A34" s="6"/>
      <c r="B34" s="5"/>
      <c r="C34" s="5"/>
      <c r="D34" s="5"/>
      <c r="E34" s="5"/>
      <c r="F34" s="5"/>
      <c r="G34" s="5"/>
      <c r="H34" s="49"/>
      <c r="I34" s="50"/>
      <c r="J34" s="129"/>
      <c r="K34" s="50"/>
      <c r="L34" s="52"/>
      <c r="M34" s="52"/>
      <c r="N34" s="49"/>
      <c r="O34" s="51"/>
      <c r="P34" s="50"/>
      <c r="Q34" s="116"/>
      <c r="R34" s="50"/>
      <c r="S34" s="50"/>
      <c r="T34" s="50"/>
      <c r="U34" s="68"/>
      <c r="V34" s="51"/>
      <c r="W34" s="69"/>
      <c r="X34" s="52"/>
      <c r="Y34" s="52"/>
      <c r="Z34" s="70"/>
      <c r="AA34" s="14"/>
    </row>
    <row r="35" spans="1:27">
      <c r="A35" s="6"/>
      <c r="B35" s="5"/>
      <c r="C35" s="5"/>
      <c r="D35" s="5"/>
      <c r="E35" s="5"/>
      <c r="F35" s="5"/>
      <c r="G35" s="5"/>
      <c r="H35" s="49"/>
      <c r="I35" s="50"/>
      <c r="J35" s="129"/>
      <c r="K35" s="50"/>
      <c r="L35" s="52"/>
      <c r="M35" s="52"/>
      <c r="N35" s="49"/>
      <c r="O35" s="51"/>
      <c r="P35" s="50"/>
      <c r="Q35" s="116"/>
      <c r="R35" s="50"/>
      <c r="S35" s="50"/>
      <c r="T35" s="50"/>
      <c r="U35" s="68"/>
      <c r="V35" s="51"/>
      <c r="W35" s="69"/>
      <c r="X35" s="52"/>
      <c r="Y35" s="52"/>
      <c r="Z35" s="70"/>
      <c r="AA35" s="14"/>
    </row>
    <row r="36" spans="1:27">
      <c r="A36" s="6"/>
      <c r="B36" s="5"/>
      <c r="C36" s="5"/>
      <c r="D36" s="5"/>
      <c r="E36" s="5"/>
      <c r="F36" s="5"/>
      <c r="G36" s="5"/>
      <c r="H36" s="49"/>
      <c r="I36" s="50"/>
      <c r="J36" s="129"/>
      <c r="K36" s="50"/>
      <c r="L36" s="52"/>
      <c r="M36" s="52"/>
      <c r="N36" s="49"/>
      <c r="O36" s="51"/>
      <c r="P36" s="50"/>
      <c r="Q36" s="116"/>
      <c r="R36" s="50"/>
      <c r="S36" s="50"/>
      <c r="T36" s="50"/>
      <c r="U36" s="68"/>
      <c r="V36" s="51"/>
      <c r="W36" s="69"/>
      <c r="X36" s="52"/>
      <c r="Y36" s="52"/>
      <c r="Z36" s="70"/>
      <c r="AA36" s="14"/>
    </row>
    <row r="37" spans="1:27">
      <c r="A37" s="6"/>
      <c r="B37" s="5"/>
      <c r="C37" s="5"/>
      <c r="D37" s="5"/>
      <c r="E37" s="5"/>
      <c r="F37" s="5"/>
      <c r="G37" s="5"/>
      <c r="H37" s="49"/>
      <c r="I37" s="50"/>
      <c r="J37" s="129"/>
      <c r="K37" s="50"/>
      <c r="L37" s="52"/>
      <c r="M37" s="52"/>
      <c r="N37" s="49"/>
      <c r="O37" s="51"/>
      <c r="P37" s="50"/>
      <c r="Q37" s="116"/>
      <c r="R37" s="50"/>
      <c r="S37" s="50"/>
      <c r="T37" s="50"/>
      <c r="U37" s="68"/>
      <c r="V37" s="51"/>
      <c r="W37" s="69"/>
      <c r="X37" s="52"/>
      <c r="Y37" s="52"/>
      <c r="Z37" s="70"/>
      <c r="AA37" s="14"/>
    </row>
    <row r="38" spans="1:27">
      <c r="A38" s="6"/>
      <c r="B38" s="5"/>
      <c r="C38" s="5"/>
      <c r="D38" s="5"/>
      <c r="E38" s="5"/>
      <c r="F38" s="5"/>
      <c r="G38" s="5"/>
      <c r="H38" s="49"/>
      <c r="I38" s="50"/>
      <c r="J38" s="129"/>
      <c r="K38" s="50"/>
      <c r="L38" s="52"/>
      <c r="M38" s="52"/>
      <c r="N38" s="49"/>
      <c r="O38" s="51"/>
      <c r="P38" s="50"/>
      <c r="Q38" s="116"/>
      <c r="R38" s="50"/>
      <c r="S38" s="50"/>
      <c r="T38" s="50"/>
      <c r="U38" s="68"/>
      <c r="V38" s="51"/>
      <c r="W38" s="69"/>
      <c r="X38" s="52"/>
      <c r="Y38" s="52"/>
      <c r="Z38" s="70"/>
      <c r="AA38" s="14"/>
    </row>
    <row r="39" spans="1:27">
      <c r="A39" s="6"/>
      <c r="B39" s="5"/>
      <c r="C39" s="5"/>
      <c r="D39" s="5"/>
      <c r="E39" s="5"/>
      <c r="F39" s="5"/>
      <c r="G39" s="5"/>
      <c r="H39" s="49"/>
      <c r="I39" s="50"/>
      <c r="J39" s="129"/>
      <c r="K39" s="50"/>
      <c r="L39" s="52"/>
      <c r="M39" s="52"/>
      <c r="N39" s="49"/>
      <c r="O39" s="51"/>
      <c r="P39" s="50"/>
      <c r="Q39" s="116"/>
      <c r="R39" s="50"/>
      <c r="S39" s="50"/>
      <c r="T39" s="50"/>
      <c r="U39" s="68"/>
      <c r="V39" s="51"/>
      <c r="W39" s="69"/>
      <c r="X39" s="52"/>
      <c r="Y39" s="52"/>
      <c r="Z39" s="70"/>
      <c r="AA39" s="14"/>
    </row>
    <row r="40" spans="1:27">
      <c r="A40" s="6"/>
      <c r="B40" s="5"/>
      <c r="C40" s="5"/>
      <c r="D40" s="5"/>
      <c r="E40" s="5"/>
      <c r="F40" s="5"/>
      <c r="G40" s="5"/>
      <c r="H40" s="49"/>
      <c r="I40" s="50"/>
      <c r="J40" s="129"/>
      <c r="K40" s="50"/>
      <c r="L40" s="52"/>
      <c r="M40" s="52"/>
      <c r="N40" s="49"/>
      <c r="O40" s="51"/>
      <c r="P40" s="50"/>
      <c r="Q40" s="116"/>
      <c r="R40" s="50"/>
      <c r="S40" s="50"/>
      <c r="T40" s="50"/>
      <c r="U40" s="68"/>
      <c r="V40" s="51"/>
      <c r="W40" s="69"/>
      <c r="X40" s="52"/>
      <c r="Y40" s="52"/>
      <c r="Z40" s="70"/>
      <c r="AA40" s="14"/>
    </row>
    <row r="41" spans="1:27">
      <c r="A41" s="6"/>
      <c r="B41" s="5"/>
      <c r="C41" s="5"/>
      <c r="D41" s="5"/>
      <c r="E41" s="5"/>
      <c r="F41" s="5"/>
      <c r="G41" s="5"/>
      <c r="H41" s="49"/>
      <c r="I41" s="50"/>
      <c r="J41" s="129"/>
      <c r="K41" s="50"/>
      <c r="L41" s="52"/>
      <c r="M41" s="52"/>
      <c r="N41" s="49"/>
      <c r="O41" s="51"/>
      <c r="P41" s="50"/>
      <c r="Q41" s="116"/>
      <c r="R41" s="50"/>
      <c r="S41" s="50"/>
      <c r="T41" s="50"/>
      <c r="U41" s="68"/>
      <c r="V41" s="51"/>
      <c r="W41" s="69"/>
      <c r="X41" s="52"/>
      <c r="Y41" s="52"/>
      <c r="Z41" s="70"/>
      <c r="AA41" s="14"/>
    </row>
    <row r="42" spans="1:27">
      <c r="A42" s="6"/>
      <c r="B42" s="5"/>
      <c r="C42" s="5"/>
      <c r="D42" s="5"/>
      <c r="E42" s="5"/>
      <c r="F42" s="5"/>
      <c r="G42" s="5"/>
      <c r="H42" s="49"/>
      <c r="I42" s="50"/>
      <c r="J42" s="129"/>
      <c r="K42" s="50"/>
      <c r="L42" s="52"/>
      <c r="M42" s="52"/>
      <c r="N42" s="49"/>
      <c r="O42" s="51"/>
      <c r="P42" s="50"/>
      <c r="Q42" s="116"/>
      <c r="R42" s="50"/>
      <c r="S42" s="50"/>
      <c r="T42" s="50"/>
      <c r="U42" s="68"/>
      <c r="V42" s="51"/>
      <c r="W42" s="69"/>
      <c r="X42" s="52"/>
      <c r="Y42" s="52"/>
      <c r="Z42" s="70"/>
      <c r="AA42" s="14"/>
    </row>
    <row r="43" spans="1:27">
      <c r="A43" s="6"/>
      <c r="B43" s="5"/>
      <c r="C43" s="5"/>
      <c r="D43" s="5"/>
      <c r="E43" s="5"/>
      <c r="F43" s="5"/>
      <c r="G43" s="5"/>
      <c r="H43" s="49"/>
      <c r="I43" s="50"/>
      <c r="J43" s="129"/>
      <c r="K43" s="50"/>
      <c r="L43" s="52"/>
      <c r="M43" s="52"/>
      <c r="N43" s="49"/>
      <c r="O43" s="51"/>
      <c r="P43" s="50"/>
      <c r="Q43" s="116"/>
      <c r="R43" s="50"/>
      <c r="S43" s="50"/>
      <c r="T43" s="50"/>
      <c r="U43" s="68"/>
      <c r="V43" s="51"/>
      <c r="W43" s="69"/>
      <c r="X43" s="52"/>
      <c r="Y43" s="52"/>
      <c r="Z43" s="70"/>
      <c r="AA43" s="14"/>
    </row>
    <row r="44" spans="1:27">
      <c r="A44" s="6"/>
      <c r="B44" s="5"/>
      <c r="C44" s="5"/>
      <c r="D44" s="5"/>
      <c r="E44" s="5"/>
      <c r="F44" s="5"/>
      <c r="G44" s="5"/>
      <c r="H44" s="113"/>
      <c r="I44" s="7"/>
      <c r="J44" s="128"/>
      <c r="K44" s="7"/>
      <c r="L44" s="115"/>
      <c r="M44" s="115"/>
      <c r="N44" s="113"/>
      <c r="O44" s="8"/>
      <c r="P44" s="7"/>
      <c r="Q44" s="48"/>
      <c r="R44" s="7"/>
      <c r="S44" s="7"/>
      <c r="T44" s="7"/>
      <c r="U44" s="114"/>
      <c r="V44" s="7"/>
      <c r="W44" s="112"/>
      <c r="X44" s="112"/>
      <c r="Y44" s="112"/>
      <c r="Z44" s="9"/>
      <c r="AA44" s="14"/>
    </row>
    <row r="45" spans="1:27">
      <c r="A45" s="6"/>
      <c r="B45" s="5"/>
      <c r="C45" s="5"/>
      <c r="D45" s="5"/>
      <c r="E45" s="5"/>
      <c r="F45" s="5"/>
      <c r="G45" s="5"/>
      <c r="H45" s="49"/>
      <c r="I45" s="50"/>
      <c r="J45" s="129"/>
      <c r="K45" s="50"/>
      <c r="L45" s="52"/>
      <c r="M45" s="52"/>
      <c r="N45" s="49"/>
      <c r="O45" s="51"/>
      <c r="P45" s="50"/>
      <c r="Q45" s="116"/>
      <c r="R45" s="50"/>
      <c r="S45" s="50"/>
      <c r="T45" s="50"/>
      <c r="U45" s="68"/>
      <c r="V45" s="51"/>
      <c r="W45" s="69"/>
      <c r="X45" s="52"/>
      <c r="Y45" s="52"/>
      <c r="Z45" s="70"/>
      <c r="AA45" s="14"/>
    </row>
    <row r="46" spans="1:27">
      <c r="A46" s="6"/>
      <c r="B46" s="5"/>
      <c r="C46" s="5"/>
      <c r="D46" s="5"/>
      <c r="E46" s="5"/>
      <c r="F46" s="5"/>
      <c r="G46" s="5"/>
      <c r="H46" s="49"/>
      <c r="I46" s="50"/>
      <c r="J46" s="129"/>
      <c r="K46" s="50"/>
      <c r="L46" s="52"/>
      <c r="M46" s="52"/>
      <c r="N46" s="49"/>
      <c r="O46" s="51"/>
      <c r="P46" s="50"/>
      <c r="Q46" s="116"/>
      <c r="R46" s="50"/>
      <c r="S46" s="50"/>
      <c r="T46" s="50"/>
      <c r="U46" s="68"/>
      <c r="V46" s="51"/>
      <c r="W46" s="69"/>
      <c r="X46" s="52"/>
      <c r="Y46" s="52"/>
      <c r="Z46" s="70"/>
      <c r="AA46" s="14"/>
    </row>
    <row r="47" spans="1:27">
      <c r="A47" s="6"/>
      <c r="B47" s="5"/>
      <c r="C47" s="5"/>
      <c r="D47" s="5"/>
      <c r="E47" s="5"/>
      <c r="F47" s="5"/>
      <c r="G47" s="5"/>
      <c r="H47" s="49"/>
      <c r="I47" s="50"/>
      <c r="J47" s="129"/>
      <c r="K47" s="50"/>
      <c r="L47" s="52"/>
      <c r="M47" s="52"/>
      <c r="N47" s="49"/>
      <c r="O47" s="51"/>
      <c r="P47" s="50"/>
      <c r="Q47" s="116"/>
      <c r="R47" s="50"/>
      <c r="S47" s="50"/>
      <c r="T47" s="50"/>
      <c r="U47" s="68"/>
      <c r="V47" s="51"/>
      <c r="W47" s="69"/>
      <c r="X47" s="52"/>
      <c r="Y47" s="52"/>
      <c r="Z47" s="70"/>
      <c r="AA47" s="14"/>
    </row>
    <row r="48" spans="1:27">
      <c r="A48" s="6"/>
      <c r="B48" s="5"/>
      <c r="C48" s="5"/>
      <c r="D48" s="5"/>
      <c r="E48" s="5"/>
      <c r="F48" s="5"/>
      <c r="G48" s="5"/>
      <c r="H48" s="49"/>
      <c r="I48" s="50"/>
      <c r="J48" s="129"/>
      <c r="K48" s="50"/>
      <c r="L48" s="52"/>
      <c r="M48" s="52"/>
      <c r="N48" s="49"/>
      <c r="O48" s="51"/>
      <c r="P48" s="50"/>
      <c r="Q48" s="116"/>
      <c r="R48" s="50"/>
      <c r="S48" s="50"/>
      <c r="T48" s="50"/>
      <c r="U48" s="68"/>
      <c r="V48" s="51"/>
      <c r="W48" s="69"/>
      <c r="X48" s="52"/>
      <c r="Y48" s="52"/>
      <c r="Z48" s="70"/>
      <c r="AA48" s="14"/>
    </row>
    <row r="49" spans="1:27">
      <c r="A49" s="6"/>
      <c r="B49" s="5"/>
      <c r="C49" s="5"/>
      <c r="D49" s="5"/>
      <c r="E49" s="5"/>
      <c r="F49" s="5"/>
      <c r="G49" s="5"/>
      <c r="H49" s="49"/>
      <c r="I49" s="50"/>
      <c r="J49" s="129"/>
      <c r="K49" s="50"/>
      <c r="L49" s="52"/>
      <c r="M49" s="52"/>
      <c r="N49" s="49"/>
      <c r="O49" s="51"/>
      <c r="P49" s="50"/>
      <c r="Q49" s="116"/>
      <c r="R49" s="50"/>
      <c r="S49" s="50"/>
      <c r="T49" s="50"/>
      <c r="U49" s="68"/>
      <c r="V49" s="51"/>
      <c r="W49" s="69"/>
      <c r="X49" s="52"/>
      <c r="Y49" s="52"/>
      <c r="Z49" s="70"/>
      <c r="AA49" s="14"/>
    </row>
    <row r="50" spans="1:27">
      <c r="A50" s="6"/>
      <c r="B50" s="5"/>
      <c r="C50" s="5"/>
      <c r="D50" s="5"/>
      <c r="E50" s="5"/>
      <c r="F50" s="5"/>
      <c r="G50" s="5"/>
      <c r="H50" s="49"/>
      <c r="I50" s="50"/>
      <c r="J50" s="129"/>
      <c r="K50" s="50"/>
      <c r="L50" s="52"/>
      <c r="M50" s="52"/>
      <c r="N50" s="49"/>
      <c r="O50" s="51"/>
      <c r="P50" s="50"/>
      <c r="Q50" s="116"/>
      <c r="R50" s="50"/>
      <c r="S50" s="50"/>
      <c r="T50" s="50"/>
      <c r="U50" s="68"/>
      <c r="V50" s="51"/>
      <c r="W50" s="69"/>
      <c r="X50" s="52"/>
      <c r="Y50" s="52"/>
      <c r="Z50" s="70"/>
      <c r="AA50" s="14"/>
    </row>
    <row r="51" spans="1:27">
      <c r="A51" s="6"/>
      <c r="B51" s="5"/>
      <c r="C51" s="5"/>
      <c r="D51" s="5"/>
      <c r="E51" s="5"/>
      <c r="F51" s="5"/>
      <c r="G51" s="5"/>
      <c r="H51" s="49"/>
      <c r="I51" s="50"/>
      <c r="J51" s="129"/>
      <c r="K51" s="50"/>
      <c r="L51" s="52"/>
      <c r="M51" s="52"/>
      <c r="N51" s="49"/>
      <c r="O51" s="51"/>
      <c r="P51" s="50"/>
      <c r="Q51" s="116"/>
      <c r="R51" s="50"/>
      <c r="S51" s="50"/>
      <c r="T51" s="50"/>
      <c r="U51" s="68"/>
      <c r="V51" s="51"/>
      <c r="W51" s="69"/>
      <c r="X51" s="52"/>
      <c r="Y51" s="52"/>
      <c r="Z51" s="70"/>
      <c r="AA51" s="14"/>
    </row>
    <row r="52" spans="1:27">
      <c r="A52" s="6"/>
      <c r="B52" s="5"/>
      <c r="C52" s="5"/>
      <c r="D52" s="5"/>
      <c r="E52" s="5"/>
      <c r="F52" s="5"/>
      <c r="G52" s="5"/>
      <c r="H52" s="49"/>
      <c r="I52" s="50"/>
      <c r="J52" s="129"/>
      <c r="K52" s="50"/>
      <c r="L52" s="52"/>
      <c r="M52" s="52"/>
      <c r="N52" s="49"/>
      <c r="O52" s="51"/>
      <c r="P52" s="50"/>
      <c r="Q52" s="116"/>
      <c r="R52" s="50"/>
      <c r="S52" s="50"/>
      <c r="T52" s="50"/>
      <c r="U52" s="68"/>
      <c r="V52" s="51"/>
      <c r="W52" s="69"/>
      <c r="X52" s="52"/>
      <c r="Y52" s="52"/>
      <c r="Z52" s="70"/>
      <c r="AA52" s="14"/>
    </row>
    <row r="53" spans="1:27">
      <c r="A53" s="6"/>
      <c r="B53" s="5"/>
      <c r="C53" s="5"/>
      <c r="D53" s="5"/>
      <c r="E53" s="5"/>
      <c r="F53" s="5"/>
      <c r="G53" s="5"/>
      <c r="H53" s="49"/>
      <c r="I53" s="50"/>
      <c r="J53" s="129"/>
      <c r="K53" s="50"/>
      <c r="L53" s="52"/>
      <c r="M53" s="52"/>
      <c r="N53" s="49"/>
      <c r="O53" s="51"/>
      <c r="P53" s="50"/>
      <c r="Q53" s="116"/>
      <c r="R53" s="50"/>
      <c r="S53" s="50"/>
      <c r="T53" s="50"/>
      <c r="U53" s="68"/>
      <c r="V53" s="51"/>
      <c r="W53" s="69"/>
      <c r="X53" s="52"/>
      <c r="Y53" s="52"/>
      <c r="Z53" s="70"/>
      <c r="AA53" s="14"/>
    </row>
    <row r="54" spans="1:27">
      <c r="A54" s="6"/>
      <c r="B54" s="5"/>
      <c r="C54" s="5"/>
      <c r="D54" s="5"/>
      <c r="E54" s="5"/>
      <c r="F54" s="5"/>
      <c r="G54" s="5"/>
      <c r="H54" s="49"/>
      <c r="I54" s="50"/>
      <c r="J54" s="129"/>
      <c r="K54" s="50"/>
      <c r="L54" s="52"/>
      <c r="M54" s="52"/>
      <c r="N54" s="49"/>
      <c r="O54" s="51"/>
      <c r="P54" s="50"/>
      <c r="Q54" s="116"/>
      <c r="R54" s="50"/>
      <c r="S54" s="50"/>
      <c r="T54" s="50"/>
      <c r="U54" s="68"/>
      <c r="V54" s="51"/>
      <c r="W54" s="69"/>
      <c r="X54" s="52"/>
      <c r="Y54" s="52"/>
      <c r="Z54" s="70"/>
      <c r="AA54" s="14"/>
    </row>
    <row r="55" spans="1:27">
      <c r="A55" s="6"/>
      <c r="B55" s="5"/>
      <c r="C55" s="5"/>
      <c r="D55" s="5"/>
      <c r="E55" s="5"/>
      <c r="F55" s="5"/>
      <c r="G55" s="5"/>
      <c r="H55" s="49"/>
      <c r="I55" s="50"/>
      <c r="J55" s="129"/>
      <c r="K55" s="50"/>
      <c r="L55" s="52"/>
      <c r="M55" s="52"/>
      <c r="N55" s="49"/>
      <c r="O55" s="51"/>
      <c r="P55" s="50"/>
      <c r="Q55" s="116"/>
      <c r="R55" s="50"/>
      <c r="S55" s="50"/>
      <c r="T55" s="50"/>
      <c r="U55" s="68"/>
      <c r="V55" s="51"/>
      <c r="W55" s="69"/>
      <c r="X55" s="52"/>
      <c r="Y55" s="52"/>
      <c r="Z55" s="70"/>
      <c r="AA55" s="14"/>
    </row>
    <row r="56" spans="1:27">
      <c r="A56" s="6"/>
      <c r="B56" s="5"/>
      <c r="C56" s="5"/>
      <c r="D56" s="5"/>
      <c r="E56" s="5"/>
      <c r="F56" s="5"/>
      <c r="G56" s="5"/>
      <c r="H56" s="49"/>
      <c r="I56" s="50"/>
      <c r="J56" s="129"/>
      <c r="K56" s="50"/>
      <c r="L56" s="52"/>
      <c r="M56" s="52"/>
      <c r="N56" s="49"/>
      <c r="O56" s="51"/>
      <c r="P56" s="50"/>
      <c r="Q56" s="116"/>
      <c r="R56" s="50"/>
      <c r="S56" s="50"/>
      <c r="T56" s="50"/>
      <c r="U56" s="68"/>
      <c r="V56" s="51"/>
      <c r="W56" s="69"/>
      <c r="X56" s="52"/>
      <c r="Y56" s="52"/>
      <c r="Z56" s="70"/>
      <c r="AA56" s="14"/>
    </row>
    <row r="57" spans="1:27">
      <c r="A57" s="6"/>
      <c r="B57" s="5"/>
      <c r="C57" s="5"/>
      <c r="D57" s="5"/>
      <c r="E57" s="5"/>
      <c r="F57" s="5"/>
      <c r="G57" s="5"/>
      <c r="H57" s="49"/>
      <c r="I57" s="50"/>
      <c r="J57" s="129"/>
      <c r="K57" s="50"/>
      <c r="L57" s="52"/>
      <c r="M57" s="52"/>
      <c r="N57" s="49"/>
      <c r="O57" s="51"/>
      <c r="P57" s="50"/>
      <c r="Q57" s="116"/>
      <c r="R57" s="50"/>
      <c r="S57" s="50"/>
      <c r="T57" s="50"/>
      <c r="U57" s="68"/>
      <c r="V57" s="51"/>
      <c r="W57" s="69"/>
      <c r="X57" s="52"/>
      <c r="Y57" s="52"/>
      <c r="Z57" s="70"/>
      <c r="AA57" s="14"/>
    </row>
    <row r="58" spans="1:27">
      <c r="A58" s="6"/>
      <c r="B58" s="5"/>
      <c r="C58" s="5"/>
      <c r="D58" s="5"/>
      <c r="E58" s="5"/>
      <c r="F58" s="5"/>
      <c r="G58" s="5"/>
      <c r="H58" s="49"/>
      <c r="I58" s="50"/>
      <c r="J58" s="129"/>
      <c r="K58" s="50"/>
      <c r="L58" s="52"/>
      <c r="M58" s="52"/>
      <c r="N58" s="49"/>
      <c r="O58" s="51"/>
      <c r="P58" s="50"/>
      <c r="Q58" s="116"/>
      <c r="R58" s="50"/>
      <c r="S58" s="50"/>
      <c r="T58" s="50"/>
      <c r="U58" s="68"/>
      <c r="V58" s="51"/>
      <c r="W58" s="69"/>
      <c r="X58" s="52"/>
      <c r="Y58" s="52"/>
      <c r="Z58" s="70"/>
      <c r="AA58" s="14"/>
    </row>
    <row r="59" spans="1:27">
      <c r="A59" s="6"/>
      <c r="B59" s="5"/>
      <c r="C59" s="5"/>
      <c r="D59" s="5"/>
      <c r="E59" s="5"/>
      <c r="F59" s="5"/>
      <c r="G59" s="5"/>
      <c r="H59" s="49"/>
      <c r="I59" s="50"/>
      <c r="J59" s="129"/>
      <c r="K59" s="50"/>
      <c r="L59" s="52"/>
      <c r="M59" s="52"/>
      <c r="N59" s="49"/>
      <c r="O59" s="51"/>
      <c r="P59" s="50"/>
      <c r="Q59" s="116"/>
      <c r="R59" s="50"/>
      <c r="S59" s="50"/>
      <c r="T59" s="50"/>
      <c r="U59" s="68"/>
      <c r="V59" s="51"/>
      <c r="W59" s="69"/>
      <c r="X59" s="52"/>
      <c r="Y59" s="52"/>
      <c r="Z59" s="70"/>
      <c r="AA59" s="14"/>
    </row>
    <row r="60" spans="1:27">
      <c r="A60" s="6"/>
      <c r="B60" s="5"/>
      <c r="C60" s="5"/>
      <c r="D60" s="5"/>
      <c r="E60" s="5"/>
      <c r="F60" s="5"/>
      <c r="G60" s="5"/>
      <c r="H60" s="49"/>
      <c r="I60" s="50"/>
      <c r="J60" s="129"/>
      <c r="K60" s="50"/>
      <c r="L60" s="52"/>
      <c r="M60" s="52"/>
      <c r="N60" s="49"/>
      <c r="O60" s="51"/>
      <c r="P60" s="50"/>
      <c r="Q60" s="116"/>
      <c r="R60" s="50"/>
      <c r="S60" s="50"/>
      <c r="T60" s="50"/>
      <c r="U60" s="68"/>
      <c r="V60" s="51"/>
      <c r="W60" s="69"/>
      <c r="X60" s="52"/>
      <c r="Y60" s="52"/>
      <c r="Z60" s="70"/>
      <c r="AA60" s="14"/>
    </row>
    <row r="61" spans="1:27">
      <c r="A61" s="6"/>
      <c r="B61" s="5"/>
      <c r="C61" s="5"/>
      <c r="D61" s="5"/>
      <c r="E61" s="5"/>
      <c r="F61" s="5"/>
      <c r="G61" s="5"/>
      <c r="H61" s="49"/>
      <c r="I61" s="50"/>
      <c r="J61" s="129"/>
      <c r="K61" s="50"/>
      <c r="L61" s="52"/>
      <c r="M61" s="52"/>
      <c r="N61" s="49"/>
      <c r="O61" s="51"/>
      <c r="P61" s="50"/>
      <c r="Q61" s="116"/>
      <c r="R61" s="50"/>
      <c r="S61" s="50"/>
      <c r="T61" s="50"/>
      <c r="U61" s="68"/>
      <c r="V61" s="51"/>
      <c r="W61" s="69"/>
      <c r="X61" s="52"/>
      <c r="Y61" s="52"/>
      <c r="Z61" s="70"/>
      <c r="AA61" s="14"/>
    </row>
    <row r="62" spans="1:27">
      <c r="A62" s="6"/>
      <c r="B62" s="5"/>
      <c r="C62" s="5"/>
      <c r="D62" s="5"/>
      <c r="E62" s="5"/>
      <c r="F62" s="5"/>
      <c r="G62" s="5"/>
      <c r="H62" s="49"/>
      <c r="I62" s="50"/>
      <c r="J62" s="129"/>
      <c r="K62" s="50"/>
      <c r="L62" s="52"/>
      <c r="M62" s="52"/>
      <c r="N62" s="49"/>
      <c r="O62" s="51"/>
      <c r="P62" s="50"/>
      <c r="Q62" s="116"/>
      <c r="R62" s="50"/>
      <c r="S62" s="50"/>
      <c r="T62" s="50"/>
      <c r="U62" s="68"/>
      <c r="V62" s="51"/>
      <c r="W62" s="69"/>
      <c r="X62" s="52"/>
      <c r="Y62" s="52"/>
      <c r="Z62" s="70"/>
      <c r="AA62" s="14"/>
    </row>
    <row r="63" spans="1:27">
      <c r="A63" s="6"/>
      <c r="B63" s="5"/>
      <c r="C63" s="5"/>
      <c r="D63" s="5"/>
      <c r="E63" s="5"/>
      <c r="F63" s="5"/>
      <c r="G63" s="5"/>
      <c r="H63" s="49"/>
      <c r="I63" s="50"/>
      <c r="J63" s="129"/>
      <c r="K63" s="50"/>
      <c r="L63" s="52"/>
      <c r="M63" s="52"/>
      <c r="N63" s="49"/>
      <c r="O63" s="51"/>
      <c r="P63" s="50"/>
      <c r="Q63" s="116"/>
      <c r="R63" s="50"/>
      <c r="S63" s="50"/>
      <c r="T63" s="50"/>
      <c r="U63" s="68"/>
      <c r="V63" s="51"/>
      <c r="W63" s="69"/>
      <c r="X63" s="52"/>
      <c r="Y63" s="52"/>
      <c r="Z63" s="70"/>
      <c r="AA63" s="14"/>
    </row>
    <row r="64" spans="1:27">
      <c r="A64" s="6"/>
      <c r="B64" s="5"/>
      <c r="C64" s="5"/>
      <c r="D64" s="5"/>
      <c r="E64" s="5"/>
      <c r="F64" s="5"/>
      <c r="G64" s="5"/>
      <c r="H64" s="49"/>
      <c r="I64" s="50"/>
      <c r="J64" s="129"/>
      <c r="K64" s="50"/>
      <c r="L64" s="52"/>
      <c r="M64" s="52"/>
      <c r="N64" s="49"/>
      <c r="O64" s="51"/>
      <c r="P64" s="50"/>
      <c r="Q64" s="116"/>
      <c r="R64" s="50"/>
      <c r="S64" s="50"/>
      <c r="T64" s="50"/>
      <c r="U64" s="68"/>
      <c r="V64" s="51"/>
      <c r="W64" s="69"/>
      <c r="X64" s="52"/>
      <c r="Y64" s="52"/>
      <c r="Z64" s="70"/>
      <c r="AA64" s="14"/>
    </row>
    <row r="65" spans="1:27">
      <c r="A65" s="6"/>
      <c r="B65" s="5"/>
      <c r="C65" s="5"/>
      <c r="D65" s="5"/>
      <c r="E65" s="5"/>
      <c r="F65" s="5"/>
      <c r="G65" s="5"/>
      <c r="H65" s="49"/>
      <c r="I65" s="50"/>
      <c r="J65" s="129"/>
      <c r="K65" s="50"/>
      <c r="L65" s="52"/>
      <c r="M65" s="52"/>
      <c r="N65" s="49"/>
      <c r="O65" s="51"/>
      <c r="P65" s="50"/>
      <c r="Q65" s="116"/>
      <c r="R65" s="50"/>
      <c r="S65" s="50"/>
      <c r="T65" s="50"/>
      <c r="U65" s="68"/>
      <c r="V65" s="51"/>
      <c r="W65" s="69"/>
      <c r="X65" s="52"/>
      <c r="Y65" s="52"/>
      <c r="Z65" s="70"/>
      <c r="AA65" s="14"/>
    </row>
    <row r="66" spans="1:27">
      <c r="A66" s="6"/>
      <c r="B66" s="5"/>
      <c r="C66" s="5"/>
      <c r="D66" s="5"/>
      <c r="E66" s="5"/>
      <c r="F66" s="5"/>
      <c r="G66" s="5"/>
      <c r="H66" s="49"/>
      <c r="I66" s="50"/>
      <c r="J66" s="129"/>
      <c r="K66" s="50"/>
      <c r="L66" s="52"/>
      <c r="M66" s="52"/>
      <c r="N66" s="49"/>
      <c r="O66" s="51"/>
      <c r="P66" s="50"/>
      <c r="Q66" s="116"/>
      <c r="R66" s="50"/>
      <c r="S66" s="50"/>
      <c r="T66" s="50"/>
      <c r="U66" s="68"/>
      <c r="V66" s="51"/>
      <c r="W66" s="69"/>
      <c r="X66" s="52"/>
      <c r="Y66" s="52"/>
      <c r="Z66" s="70"/>
      <c r="AA66" s="14"/>
    </row>
    <row r="67" spans="1:27">
      <c r="A67" s="6"/>
      <c r="B67" s="5"/>
      <c r="C67" s="5"/>
      <c r="D67" s="5"/>
      <c r="E67" s="5"/>
      <c r="F67" s="5"/>
      <c r="G67" s="5"/>
      <c r="H67" s="49"/>
      <c r="I67" s="50"/>
      <c r="J67" s="129"/>
      <c r="K67" s="50"/>
      <c r="L67" s="52"/>
      <c r="M67" s="52"/>
      <c r="N67" s="49"/>
      <c r="O67" s="51"/>
      <c r="P67" s="50"/>
      <c r="Q67" s="116"/>
      <c r="R67" s="50"/>
      <c r="S67" s="50"/>
      <c r="T67" s="50"/>
      <c r="U67" s="68"/>
      <c r="V67" s="51"/>
      <c r="W67" s="69"/>
      <c r="X67" s="52"/>
      <c r="Y67" s="52"/>
      <c r="Z67" s="70"/>
      <c r="AA67" s="14"/>
    </row>
    <row r="68" spans="1:27">
      <c r="A68" s="6"/>
      <c r="B68" s="5"/>
      <c r="C68" s="5"/>
      <c r="D68" s="5"/>
      <c r="E68" s="5"/>
      <c r="F68" s="5"/>
      <c r="G68" s="5"/>
      <c r="H68" s="49"/>
      <c r="I68" s="50"/>
      <c r="J68" s="129"/>
      <c r="K68" s="50"/>
      <c r="L68" s="52"/>
      <c r="M68" s="52"/>
      <c r="N68" s="49"/>
      <c r="O68" s="51"/>
      <c r="P68" s="50"/>
      <c r="Q68" s="116"/>
      <c r="R68" s="50"/>
      <c r="S68" s="50"/>
      <c r="T68" s="50"/>
      <c r="U68" s="68"/>
      <c r="V68" s="51"/>
      <c r="W68" s="69"/>
      <c r="X68" s="52"/>
      <c r="Y68" s="52"/>
      <c r="Z68" s="70"/>
      <c r="AA68" s="14"/>
    </row>
    <row r="69" spans="1:27">
      <c r="A69" s="6"/>
      <c r="B69" s="5"/>
      <c r="C69" s="5"/>
      <c r="D69" s="5"/>
      <c r="E69" s="5"/>
      <c r="F69" s="5"/>
      <c r="G69" s="5"/>
      <c r="H69" s="49"/>
      <c r="I69" s="50"/>
      <c r="J69" s="129"/>
      <c r="K69" s="50"/>
      <c r="L69" s="52"/>
      <c r="M69" s="52"/>
      <c r="N69" s="49"/>
      <c r="O69" s="51"/>
      <c r="P69" s="50"/>
      <c r="Q69" s="116"/>
      <c r="R69" s="50"/>
      <c r="S69" s="50"/>
      <c r="T69" s="50"/>
      <c r="U69" s="68"/>
      <c r="V69" s="51"/>
      <c r="W69" s="69"/>
      <c r="X69" s="52"/>
      <c r="Y69" s="52"/>
      <c r="Z69" s="70"/>
      <c r="AA69" s="14"/>
    </row>
    <row r="70" spans="1:27">
      <c r="A70" s="6"/>
      <c r="B70" s="5"/>
      <c r="C70" s="5"/>
      <c r="D70" s="5"/>
      <c r="E70" s="5"/>
      <c r="F70" s="5"/>
      <c r="G70" s="5"/>
      <c r="H70" s="49"/>
      <c r="I70" s="50"/>
      <c r="J70" s="129"/>
      <c r="K70" s="50"/>
      <c r="L70" s="52"/>
      <c r="M70" s="52"/>
      <c r="N70" s="49"/>
      <c r="O70" s="51"/>
      <c r="P70" s="50"/>
      <c r="Q70" s="116"/>
      <c r="R70" s="50"/>
      <c r="S70" s="50"/>
      <c r="T70" s="50"/>
      <c r="U70" s="68"/>
      <c r="V70" s="51"/>
      <c r="W70" s="69"/>
      <c r="X70" s="52"/>
      <c r="Y70" s="52"/>
      <c r="Z70" s="70"/>
      <c r="AA70" s="14"/>
    </row>
    <row r="71" spans="1:27">
      <c r="A71" s="6"/>
      <c r="B71" s="5"/>
      <c r="C71" s="5"/>
      <c r="D71" s="5"/>
      <c r="E71" s="5"/>
      <c r="F71" s="5"/>
      <c r="G71" s="5"/>
      <c r="H71" s="49"/>
      <c r="I71" s="50"/>
      <c r="J71" s="129"/>
      <c r="K71" s="50"/>
      <c r="L71" s="52"/>
      <c r="M71" s="52"/>
      <c r="N71" s="49"/>
      <c r="O71" s="51"/>
      <c r="P71" s="50"/>
      <c r="Q71" s="116"/>
      <c r="R71" s="50"/>
      <c r="S71" s="50"/>
      <c r="T71" s="50"/>
      <c r="U71" s="68"/>
      <c r="V71" s="51"/>
      <c r="W71" s="69"/>
      <c r="X71" s="52"/>
      <c r="Y71" s="52"/>
      <c r="Z71" s="70"/>
      <c r="AA71" s="14"/>
    </row>
    <row r="72" spans="1:27">
      <c r="A72" s="6"/>
      <c r="B72" s="5"/>
      <c r="C72" s="5"/>
      <c r="D72" s="5"/>
      <c r="E72" s="5"/>
      <c r="F72" s="5"/>
      <c r="G72" s="5"/>
      <c r="H72" s="49"/>
      <c r="I72" s="50"/>
      <c r="J72" s="129"/>
      <c r="K72" s="50"/>
      <c r="L72" s="52"/>
      <c r="M72" s="52"/>
      <c r="N72" s="49"/>
      <c r="O72" s="51"/>
      <c r="P72" s="50"/>
      <c r="Q72" s="116"/>
      <c r="R72" s="50"/>
      <c r="S72" s="50"/>
      <c r="T72" s="50"/>
      <c r="U72" s="68"/>
      <c r="V72" s="51"/>
      <c r="W72" s="69"/>
      <c r="X72" s="52"/>
      <c r="Y72" s="52"/>
      <c r="Z72" s="70"/>
      <c r="AA72" s="14"/>
    </row>
    <row r="73" spans="1:27">
      <c r="A73" s="6"/>
      <c r="B73" s="5"/>
      <c r="C73" s="5"/>
      <c r="D73" s="5"/>
      <c r="E73" s="5"/>
      <c r="F73" s="5"/>
      <c r="G73" s="5"/>
      <c r="H73" s="49"/>
      <c r="I73" s="50"/>
      <c r="J73" s="129"/>
      <c r="K73" s="50"/>
      <c r="L73" s="52"/>
      <c r="M73" s="52"/>
      <c r="N73" s="49"/>
      <c r="O73" s="51"/>
      <c r="P73" s="50"/>
      <c r="Q73" s="116"/>
      <c r="R73" s="50"/>
      <c r="S73" s="50"/>
      <c r="T73" s="50"/>
      <c r="U73" s="68"/>
      <c r="V73" s="51"/>
      <c r="W73" s="69"/>
      <c r="X73" s="52"/>
      <c r="Y73" s="52"/>
      <c r="Z73" s="70"/>
      <c r="AA73" s="14"/>
    </row>
    <row r="74" spans="1:27">
      <c r="A74" s="6"/>
      <c r="B74" s="5"/>
      <c r="C74" s="5"/>
      <c r="D74" s="5"/>
      <c r="E74" s="5"/>
      <c r="F74" s="5"/>
      <c r="G74" s="5"/>
      <c r="H74" s="49"/>
      <c r="I74" s="50"/>
      <c r="J74" s="129"/>
      <c r="K74" s="50"/>
      <c r="L74" s="52"/>
      <c r="M74" s="52"/>
      <c r="N74" s="49"/>
      <c r="O74" s="51"/>
      <c r="P74" s="50"/>
      <c r="Q74" s="116"/>
      <c r="R74" s="50"/>
      <c r="S74" s="50"/>
      <c r="T74" s="50"/>
      <c r="U74" s="68"/>
      <c r="V74" s="51"/>
      <c r="W74" s="69"/>
      <c r="X74" s="52"/>
      <c r="Y74" s="52"/>
      <c r="Z74" s="70"/>
      <c r="AA74" s="14"/>
    </row>
    <row r="75" spans="1:27">
      <c r="A75" s="6"/>
      <c r="B75" s="5"/>
      <c r="C75" s="5"/>
      <c r="D75" s="5"/>
      <c r="E75" s="5"/>
      <c r="F75" s="5"/>
      <c r="G75" s="5"/>
      <c r="H75" s="49"/>
      <c r="I75" s="50"/>
      <c r="J75" s="129"/>
      <c r="K75" s="50"/>
      <c r="L75" s="52"/>
      <c r="M75" s="52"/>
      <c r="N75" s="49"/>
      <c r="O75" s="51"/>
      <c r="P75" s="50"/>
      <c r="Q75" s="116"/>
      <c r="R75" s="50"/>
      <c r="S75" s="50"/>
      <c r="T75" s="50"/>
      <c r="U75" s="68"/>
      <c r="V75" s="51"/>
      <c r="W75" s="69"/>
      <c r="X75" s="52"/>
      <c r="Y75" s="52"/>
      <c r="Z75" s="70"/>
      <c r="AA75" s="14"/>
    </row>
    <row r="76" spans="1:27">
      <c r="A76" s="6"/>
      <c r="B76" s="5"/>
      <c r="C76" s="5"/>
      <c r="D76" s="5"/>
      <c r="E76" s="5"/>
      <c r="F76" s="5"/>
      <c r="G76" s="5"/>
      <c r="H76" s="49"/>
      <c r="I76" s="50"/>
      <c r="J76" s="129"/>
      <c r="K76" s="50"/>
      <c r="L76" s="52"/>
      <c r="M76" s="52"/>
      <c r="N76" s="49"/>
      <c r="O76" s="51"/>
      <c r="P76" s="50"/>
      <c r="Q76" s="116"/>
      <c r="R76" s="50"/>
      <c r="S76" s="50"/>
      <c r="T76" s="50"/>
      <c r="U76" s="68"/>
      <c r="V76" s="51"/>
      <c r="W76" s="69"/>
      <c r="X76" s="52"/>
      <c r="Y76" s="52"/>
      <c r="Z76" s="70"/>
      <c r="AA76" s="14"/>
    </row>
    <row r="77" spans="1:27">
      <c r="A77" s="6"/>
      <c r="B77" s="5"/>
      <c r="C77" s="5"/>
      <c r="D77" s="5"/>
      <c r="E77" s="5"/>
      <c r="F77" s="5"/>
      <c r="G77" s="5"/>
      <c r="H77" s="49"/>
      <c r="I77" s="50"/>
      <c r="J77" s="129"/>
      <c r="K77" s="50"/>
      <c r="L77" s="52"/>
      <c r="M77" s="52"/>
      <c r="N77" s="49"/>
      <c r="O77" s="51"/>
      <c r="P77" s="50"/>
      <c r="Q77" s="116"/>
      <c r="R77" s="50"/>
      <c r="S77" s="50"/>
      <c r="T77" s="50"/>
      <c r="U77" s="68"/>
      <c r="V77" s="51"/>
      <c r="W77" s="69"/>
      <c r="X77" s="52"/>
      <c r="Y77" s="52"/>
      <c r="Z77" s="70"/>
      <c r="AA77" s="14"/>
    </row>
  </sheetData>
  <sheetProtection algorithmName="SHA-512" hashValue="r2j/0fTCMrOrW9Dt2Cx0AxAtz9qCpVsxKia+1n69cAttLoFeNZNPFKKEqVHSZsdO2uuMA1u6vPEzqviVlsu8dw==" saltValue="ihQBlm+YbYzMqiFrMqLWzA==" spinCount="100000" sheet="1" objects="1" scenarios="1" formatCells="0" formatColumns="0" formatRows="0" insertColumns="0" deleteColumns="0" sort="0" autoFilter="0"/>
  <pageMargins left="0.25" right="0.25" top="0.75" bottom="0.75" header="0.3" footer="0.3"/>
  <pageSetup fitToHeight="0" orientation="landscape" r:id="rId1"/>
  <headerFooter>
    <oddFooter>&amp;R&amp;9&amp;"Calibri"Trading Diary&amp;L&amp;9&amp;"Calibri"Copyright © Effective Trading Solutions Pty Ltd, all rights reserved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28" r:id="rId4" name="Button 48">
              <controlPr locked="0" defaultSize="0" autoFill="0" autoPict="0" macro="[0]!CurrencyUSD" altText="Reorder">
                <anchor moveWithCells="1">
                  <from>
                    <xdr:col>2</xdr:col>
                    <xdr:colOff>50800</xdr:colOff>
                    <xdr:row>5</xdr:row>
                    <xdr:rowOff>63500</xdr:rowOff>
                  </from>
                  <to>
                    <xdr:col>2</xdr:col>
                    <xdr:colOff>342900</xdr:colOff>
                    <xdr:row>5</xdr:row>
                    <xdr:rowOff>215900</xdr:rowOff>
                  </to>
                </anchor>
              </controlPr>
            </control>
          </mc:Choice>
        </mc:AlternateContent>
        <mc:AlternateContent xmlns:mc="http://schemas.openxmlformats.org/markup-compatibility/2006">
          <mc:Choice Requires="x14">
            <control shapeId="20529" r:id="rId5" name="Button 49">
              <controlPr locked="0" defaultSize="0" autoFill="0" autoPict="0" macro="[0]!CurrencyBase" altText="Reorder">
                <anchor moveWithCells="1">
                  <from>
                    <xdr:col>2</xdr:col>
                    <xdr:colOff>50800</xdr:colOff>
                    <xdr:row>1</xdr:row>
                    <xdr:rowOff>304800</xdr:rowOff>
                  </from>
                  <to>
                    <xdr:col>2</xdr:col>
                    <xdr:colOff>342900</xdr:colOff>
                    <xdr:row>5</xdr:row>
                    <xdr:rowOff>63500</xdr:rowOff>
                  </to>
                </anchor>
              </controlPr>
            </control>
          </mc:Choice>
        </mc:AlternateContent>
        <mc:AlternateContent xmlns:mc="http://schemas.openxmlformats.org/markup-compatibility/2006">
          <mc:Choice Requires="x14">
            <control shapeId="20530" r:id="rId6" name="Button 50">
              <controlPr defaultSize="0" autoFill="0" autoPict="0" macro="[0]!ForeignExchangeFilter" altText="FX">
                <anchor moveWithCells="1" sizeWithCells="1">
                  <from>
                    <xdr:col>10</xdr:col>
                    <xdr:colOff>635000</xdr:colOff>
                    <xdr:row>1</xdr:row>
                    <xdr:rowOff>88900</xdr:rowOff>
                  </from>
                  <to>
                    <xdr:col>11</xdr:col>
                    <xdr:colOff>76200</xdr:colOff>
                    <xdr:row>1</xdr:row>
                    <xdr:rowOff>254000</xdr:rowOff>
                  </to>
                </anchor>
              </controlPr>
            </control>
          </mc:Choice>
        </mc:AlternateContent>
        <mc:AlternateContent xmlns:mc="http://schemas.openxmlformats.org/markup-compatibility/2006">
          <mc:Choice Requires="x14">
            <control shapeId="20531" r:id="rId7" name="Button 51">
              <controlPr defaultSize="0" autoFill="0" autoPict="0" macro="[0]!ShortsFilter" altText="Short">
                <anchor moveWithCells="1" sizeWithCells="1">
                  <from>
                    <xdr:col>10</xdr:col>
                    <xdr:colOff>152400</xdr:colOff>
                    <xdr:row>1</xdr:row>
                    <xdr:rowOff>88900</xdr:rowOff>
                  </from>
                  <to>
                    <xdr:col>10</xdr:col>
                    <xdr:colOff>635000</xdr:colOff>
                    <xdr:row>1</xdr:row>
                    <xdr:rowOff>254000</xdr:rowOff>
                  </to>
                </anchor>
              </controlPr>
            </control>
          </mc:Choice>
        </mc:AlternateContent>
        <mc:AlternateContent xmlns:mc="http://schemas.openxmlformats.org/markup-compatibility/2006">
          <mc:Choice Requires="x14">
            <control shapeId="20532" r:id="rId8" name="Button 52">
              <controlPr defaultSize="0" autoFill="0" autoPict="0" macro="[0]!LongsFilter" altText="Long">
                <anchor moveWithCells="1" sizeWithCells="1">
                  <from>
                    <xdr:col>9</xdr:col>
                    <xdr:colOff>533400</xdr:colOff>
                    <xdr:row>1</xdr:row>
                    <xdr:rowOff>88900</xdr:rowOff>
                  </from>
                  <to>
                    <xdr:col>10</xdr:col>
                    <xdr:colOff>139700</xdr:colOff>
                    <xdr:row>1</xdr:row>
                    <xdr:rowOff>254000</xdr:rowOff>
                  </to>
                </anchor>
              </controlPr>
            </control>
          </mc:Choice>
        </mc:AlternateContent>
        <mc:AlternateContent xmlns:mc="http://schemas.openxmlformats.org/markup-compatibility/2006">
          <mc:Choice Requires="x14">
            <control shapeId="20533" r:id="rId9" name="Button 53">
              <controlPr defaultSize="0" autoFill="0" autoPict="0" macro="[0]!CompletedRefresh" altText="Reorder">
                <anchor moveWithCells="1" sizeWithCells="1">
                  <from>
                    <xdr:col>8</xdr:col>
                    <xdr:colOff>711200</xdr:colOff>
                    <xdr:row>1</xdr:row>
                    <xdr:rowOff>88900</xdr:rowOff>
                  </from>
                  <to>
                    <xdr:col>9</xdr:col>
                    <xdr:colOff>520700</xdr:colOff>
                    <xdr:row>1</xdr:row>
                    <xdr:rowOff>254000</xdr:rowOff>
                  </to>
                </anchor>
              </controlPr>
            </control>
          </mc:Choice>
        </mc:AlternateContent>
        <mc:AlternateContent xmlns:mc="http://schemas.openxmlformats.org/markup-compatibility/2006">
          <mc:Choice Requires="x14">
            <control shapeId="20534" r:id="rId10" name="Button 54">
              <controlPr defaultSize="0" autoFill="0" autoPict="0" macro="[0]!TodaysExits" altText="">
                <anchor>
                  <from>
                    <xdr:col>13</xdr:col>
                    <xdr:colOff>406400</xdr:colOff>
                    <xdr:row>1</xdr:row>
                    <xdr:rowOff>114300</xdr:rowOff>
                  </from>
                  <to>
                    <xdr:col>14</xdr:col>
                    <xdr:colOff>50800</xdr:colOff>
                    <xdr:row>1</xdr:row>
                    <xdr:rowOff>279400</xdr:rowOff>
                  </to>
                </anchor>
              </controlPr>
            </control>
          </mc:Choice>
        </mc:AlternateContent>
        <mc:AlternateContent xmlns:mc="http://schemas.openxmlformats.org/markup-compatibility/2006">
          <mc:Choice Requires="x14">
            <control shapeId="20535" r:id="rId11" name="Button 55">
              <controlPr defaultSize="0" autoFill="0" autoPict="0" macro="[0]!ThisMonthsExists" altText="This Month">
                <anchor>
                  <from>
                    <xdr:col>14</xdr:col>
                    <xdr:colOff>63500</xdr:colOff>
                    <xdr:row>1</xdr:row>
                    <xdr:rowOff>114300</xdr:rowOff>
                  </from>
                  <to>
                    <xdr:col>14</xdr:col>
                    <xdr:colOff>749300</xdr:colOff>
                    <xdr:row>1</xdr:row>
                    <xdr:rowOff>279400</xdr:rowOff>
                  </to>
                </anchor>
              </controlPr>
            </control>
          </mc:Choice>
        </mc:AlternateContent>
        <mc:AlternateContent xmlns:mc="http://schemas.openxmlformats.org/markup-compatibility/2006">
          <mc:Choice Requires="x14">
            <control shapeId="20536" r:id="rId12" name="Button 56">
              <controlPr defaultSize="0" autoFill="0" autoPict="0" macro="[0]!LastMonthsExits" altText="Last Month">
                <anchor>
                  <from>
                    <xdr:col>14</xdr:col>
                    <xdr:colOff>762000</xdr:colOff>
                    <xdr:row>1</xdr:row>
                    <xdr:rowOff>114300</xdr:rowOff>
                  </from>
                  <to>
                    <xdr:col>15</xdr:col>
                    <xdr:colOff>635000</xdr:colOff>
                    <xdr:row>1</xdr:row>
                    <xdr:rowOff>279400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0653F-972E-48A2-A021-138ABE3851D8}">
  <sheetPr codeName="ShCompare"/>
  <dimension ref="B1:AS33"/>
  <sheetViews>
    <sheetView showGridLines="0" zoomScale="178" zoomScaleNormal="100" workbookViewId="0">
      <selection activeCell="AK8" sqref="AK8"/>
    </sheetView>
  </sheetViews>
  <sheetFormatPr baseColWidth="10" defaultColWidth="8.83203125" defaultRowHeight="15" outlineLevelCol="1"/>
  <cols>
    <col min="1" max="1" width="4.6640625" customWidth="1"/>
    <col min="2" max="2" width="10" bestFit="1" customWidth="1"/>
    <col min="3" max="3" width="11.33203125" bestFit="1" customWidth="1"/>
    <col min="4" max="4" width="8.83203125" bestFit="1" customWidth="1"/>
    <col min="5" max="5" width="11.33203125" bestFit="1" customWidth="1"/>
    <col min="6" max="6" width="11.1640625" bestFit="1" customWidth="1"/>
    <col min="7" max="7" width="3.6640625" customWidth="1"/>
    <col min="8" max="8" width="3.6640625" hidden="1" customWidth="1"/>
    <col min="9" max="10" width="3.33203125" hidden="1" customWidth="1"/>
    <col min="11" max="13" width="3.6640625" hidden="1" customWidth="1"/>
    <col min="14" max="14" width="10.6640625" hidden="1" customWidth="1"/>
    <col min="15" max="15" width="7.5" hidden="1" customWidth="1"/>
    <col min="16" max="16" width="6" hidden="1" customWidth="1"/>
    <col min="17" max="17" width="3.6640625" hidden="1" customWidth="1"/>
    <col min="18" max="18" width="3.33203125" hidden="1" customWidth="1"/>
    <col min="19" max="19" width="3.6640625" hidden="1" customWidth="1"/>
    <col min="20" max="20" width="17" hidden="1" customWidth="1" outlineLevel="1"/>
    <col min="21" max="21" width="15.83203125" hidden="1" customWidth="1" outlineLevel="1"/>
    <col min="22" max="22" width="3.6640625" hidden="1" customWidth="1" outlineLevel="1"/>
    <col min="23" max="24" width="3.6640625" customWidth="1" outlineLevel="1"/>
    <col min="25" max="25" width="8" customWidth="1" outlineLevel="1"/>
    <col min="26" max="26" width="11.6640625" customWidth="1" outlineLevel="1"/>
    <col min="27" max="27" width="7" customWidth="1" outlineLevel="1"/>
    <col min="28" max="28" width="5" hidden="1" customWidth="1"/>
    <col min="29" max="31" width="3.6640625" hidden="1" customWidth="1"/>
    <col min="32" max="32" width="3.6640625" style="16" hidden="1" customWidth="1"/>
    <col min="33" max="33" width="3.6640625" style="16" customWidth="1"/>
    <col min="34" max="34" width="3.6640625" customWidth="1"/>
    <col min="35" max="35" width="12.5" customWidth="1"/>
    <col min="36" max="36" width="13.83203125" customWidth="1"/>
    <col min="37" max="37" width="14.83203125" customWidth="1"/>
    <col min="38" max="47" width="9" customWidth="1"/>
  </cols>
  <sheetData>
    <row r="1" spans="2:45">
      <c r="N1" s="127" t="s">
        <v>133</v>
      </c>
      <c r="O1" s="127"/>
      <c r="AB1" s="127" t="s">
        <v>132</v>
      </c>
      <c r="AI1" s="21"/>
      <c r="AJ1" s="21"/>
      <c r="AK1" s="21"/>
    </row>
    <row r="2" spans="2:45" ht="16">
      <c r="B2" s="223" t="s">
        <v>81</v>
      </c>
      <c r="C2" t="s">
        <v>79</v>
      </c>
      <c r="N2" s="296" t="s">
        <v>88</v>
      </c>
    </row>
    <row r="3" spans="2:45" ht="16">
      <c r="B3" s="223" t="s">
        <v>10</v>
      </c>
      <c r="C3" t="s">
        <v>50</v>
      </c>
      <c r="N3" s="223" t="s">
        <v>10</v>
      </c>
      <c r="O3" t="s" vm="2">
        <v>50</v>
      </c>
      <c r="Y3" s="296" t="s">
        <v>88</v>
      </c>
      <c r="AI3" s="288" t="s">
        <v>147</v>
      </c>
      <c r="AJ3" s="289"/>
      <c r="AK3" s="290"/>
    </row>
    <row r="4" spans="2:45">
      <c r="B4" s="223" t="s">
        <v>48</v>
      </c>
      <c r="C4" t="s">
        <v>79</v>
      </c>
      <c r="N4" s="223" t="s">
        <v>48</v>
      </c>
      <c r="O4" t="s" vm="1">
        <v>125</v>
      </c>
      <c r="Y4" s="297" t="s">
        <v>125</v>
      </c>
      <c r="Z4" s="16"/>
      <c r="AA4" s="16"/>
      <c r="AI4" s="292" t="s">
        <v>104</v>
      </c>
      <c r="AJ4" s="293">
        <f ca="1">TODAY()</f>
        <v>46148</v>
      </c>
      <c r="AK4" s="291"/>
    </row>
    <row r="5" spans="2:45">
      <c r="AI5" s="248" t="s">
        <v>91</v>
      </c>
      <c r="AJ5" s="301" t="s">
        <v>45</v>
      </c>
      <c r="AK5" s="291"/>
      <c r="AS5" s="130"/>
    </row>
    <row r="6" spans="2:45" s="19" customFormat="1">
      <c r="B6" s="281" t="s">
        <v>80</v>
      </c>
      <c r="C6" t="s">
        <v>121</v>
      </c>
      <c r="D6" s="19" t="s">
        <v>87</v>
      </c>
      <c r="E6" s="19" t="s">
        <v>105</v>
      </c>
      <c r="F6" s="19" t="s">
        <v>106</v>
      </c>
      <c r="N6" s="223" t="s">
        <v>131</v>
      </c>
      <c r="O6" t="s">
        <v>130</v>
      </c>
      <c r="P6" t="s">
        <v>80</v>
      </c>
      <c r="Y6" s="286" t="s">
        <v>81</v>
      </c>
      <c r="Z6" s="286" t="s">
        <v>120</v>
      </c>
      <c r="AA6" s="286" t="s">
        <v>80</v>
      </c>
      <c r="AB6"/>
      <c r="AI6" s="287" t="s">
        <v>81</v>
      </c>
      <c r="AJ6" s="287" t="s">
        <v>122</v>
      </c>
      <c r="AK6" s="287" t="s">
        <v>86</v>
      </c>
      <c r="AS6" s="295"/>
    </row>
    <row r="7" spans="2:45">
      <c r="B7" s="224" t="s">
        <v>148</v>
      </c>
      <c r="C7" s="225">
        <v>0.34</v>
      </c>
      <c r="D7" s="247">
        <v>15.623000000000003</v>
      </c>
      <c r="E7" s="279">
        <v>3</v>
      </c>
      <c r="F7" s="280">
        <v>0.01</v>
      </c>
      <c r="N7" s="224" t="s">
        <v>45</v>
      </c>
      <c r="O7" s="225">
        <v>10</v>
      </c>
      <c r="P7" s="225">
        <v>1</v>
      </c>
      <c r="Y7" s="134" t="str" cm="1">
        <f t="array" ref="Y7">_xlfn._xlws.SORT(_xlfn.UNIQUE(_xlfn._xlws.FILTER(tbAllTrades[Cur], (tbAllTrades[Status]="Open") * (IF($Y$4="All", TRUE, tbAllTrades[Strategy]=$Y$4)))))</f>
        <v>USD</v>
      </c>
      <c r="Z7" s="137" cm="1">
        <f t="array" ref="Z7">IF($Y$4="all",SUMIFS(tbAllTrades[No. of Shares],tbAllTrades[Status],"Open",tbAllTrades[Cur],_xlfn.ANCHORARRAY(Y7)),SUMIFS(tbAllTrades[No. of Shares],tbAllTrades[Status],"Open",tbAllTrades[Cur],_xlfn.ANCHORARRAY(Y7),tbAllTrades[Strategy],$Y$4))</f>
        <v>0.34</v>
      </c>
      <c r="AA7" s="134" cm="1">
        <f t="array" ref="AA7">IF(Y7="", "", COUNTA(_xlfn.UNIQUE(_xlfn._xlws.FILTER(tbAllTrades[Stock], (tbAllTrades[Status]="Open") *  (IF($Y$4="All", TRUE, tbAllTrades[Strategy]=$Y$4)) * (tbAllTrades[Cur]=Y7)))))</f>
        <v>1</v>
      </c>
      <c r="AI7" s="298" t="str">
        <f>AJ5</f>
        <v>AUD</v>
      </c>
      <c r="AJ7" s="299"/>
      <c r="AK7" s="299">
        <v>1</v>
      </c>
      <c r="AQ7" s="282"/>
      <c r="AS7" s="130"/>
    </row>
    <row r="8" spans="2:45">
      <c r="B8" s="224" t="s">
        <v>78</v>
      </c>
      <c r="C8" s="225">
        <v>0.34</v>
      </c>
      <c r="D8" s="247">
        <v>15.623000000000003</v>
      </c>
      <c r="E8" s="279">
        <v>3</v>
      </c>
      <c r="F8" s="280">
        <v>0.01</v>
      </c>
      <c r="N8" s="224" t="s">
        <v>110</v>
      </c>
      <c r="O8" s="225">
        <v>7</v>
      </c>
      <c r="P8" s="225">
        <v>1</v>
      </c>
      <c r="Y8" s="134"/>
      <c r="Z8" s="137"/>
      <c r="AA8" s="134" t="str" cm="1">
        <f t="array" ref="AA8">IF(Y8="", "", COUNTA(_xlfn.UNIQUE(_xlfn._xlws.FILTER(tbAllTrades[Stock], (tbAllTrades[Status]="Open") *  (IF($Y$4="All", TRUE, tbAllTrades[Strategy]=$Y$4)) * (tbAllTrades[Cur]=Y8)))))</f>
        <v/>
      </c>
      <c r="AI8" s="110" t="s">
        <v>110</v>
      </c>
      <c r="AJ8" s="110" t="e" vm="3">
        <v>#VALUE!</v>
      </c>
      <c r="AK8" s="302" cm="1">
        <f t="array" aca="1" ref="AK8" ca="1">IF(AI8="","",_FV(AJ8,"Price"))</f>
        <v>0.72589999999999999</v>
      </c>
      <c r="AQ8" s="168"/>
      <c r="AS8" s="130"/>
    </row>
    <row r="9" spans="2:45">
      <c r="N9" s="224" t="s">
        <v>78</v>
      </c>
      <c r="O9" s="225">
        <v>17</v>
      </c>
      <c r="P9" s="225">
        <v>2</v>
      </c>
      <c r="Y9" s="134"/>
      <c r="Z9" s="137"/>
      <c r="AA9" s="134" t="str" cm="1">
        <f t="array" ref="AA9">IF(Y9="", "", COUNTA(_xlfn.UNIQUE(_xlfn._xlws.FILTER(tbAllTrades[Stock], (tbAllTrades[Status]="Open") *  (IF($Y$4="All", TRUE, tbAllTrades[Strategy]=$Y$4)) * (tbAllTrades[Cur]=Y9)))))</f>
        <v/>
      </c>
      <c r="AI9" s="110"/>
      <c r="AJ9" s="110"/>
      <c r="AK9" s="302" t="str" cm="1">
        <f t="array" ref="AK9">IF(AI9="","",_FV(AJ9,"Price"))</f>
        <v/>
      </c>
    </row>
    <row r="10" spans="2:45">
      <c r="Y10" s="134"/>
      <c r="Z10" s="137"/>
      <c r="AA10" s="134" t="str" cm="1">
        <f t="array" ref="AA10">IF(Y10="", "", COUNTA(_xlfn.UNIQUE(_xlfn._xlws.FILTER(tbAllTrades[Stock], (tbAllTrades[Status]="Open") *  (IF($Y$4="All", TRUE, tbAllTrades[Strategy]=$Y$4)) * (tbAllTrades[Cur]=Y10)))))</f>
        <v/>
      </c>
      <c r="AI10" s="110"/>
      <c r="AJ10" s="110"/>
      <c r="AK10" s="302" t="str" cm="1">
        <f t="array" ref="AK10">IF(AI10="","",_FV(AJ10,"Price"))</f>
        <v/>
      </c>
    </row>
    <row r="11" spans="2:45">
      <c r="Y11" s="134"/>
      <c r="Z11" s="137"/>
      <c r="AA11" s="134" t="str" cm="1">
        <f t="array" ref="AA11">IF(Y11="", "", COUNTA(_xlfn.UNIQUE(_xlfn._xlws.FILTER(tbAllTrades[Stock], (tbAllTrades[Status]="Open") *  (IF($Y$4="All", TRUE, tbAllTrades[Strategy]=$Y$4)) * (tbAllTrades[Cur]=Y11)))))</f>
        <v/>
      </c>
      <c r="AF11" s="284"/>
      <c r="AI11" s="110"/>
      <c r="AJ11" s="110"/>
      <c r="AK11" s="302" t="str" cm="1">
        <f t="array" ref="AK11">IF(AI11="","",_FV(AJ11,"Price"))</f>
        <v/>
      </c>
    </row>
    <row r="12" spans="2:45">
      <c r="Y12" s="286" t="s">
        <v>116</v>
      </c>
      <c r="Z12" s="300">
        <f>SUBTOTAL(109,Z7:Z11)</f>
        <v>0.34</v>
      </c>
      <c r="AA12" s="300">
        <f>SUBTOTAL(109,AA7:AA11)</f>
        <v>1</v>
      </c>
      <c r="AF12" s="284"/>
      <c r="AG12" s="284"/>
    </row>
    <row r="13" spans="2:45">
      <c r="AF13" s="284"/>
      <c r="AG13" s="284"/>
      <c r="AI13" s="224" t="s">
        <v>137</v>
      </c>
      <c r="AJ13" s="304"/>
      <c r="AK13" s="304"/>
    </row>
    <row r="14" spans="2:45">
      <c r="AE14" s="225"/>
      <c r="AF14" s="284"/>
      <c r="AG14" s="284"/>
      <c r="AI14" t="s">
        <v>136</v>
      </c>
    </row>
    <row r="15" spans="2:45">
      <c r="AE15" s="225"/>
      <c r="AF15" s="284"/>
      <c r="AG15" s="284"/>
    </row>
    <row r="16" spans="2:45">
      <c r="AE16" s="225"/>
      <c r="AF16" s="284"/>
      <c r="AG16" s="284"/>
    </row>
    <row r="17" spans="26:33">
      <c r="AE17" s="225"/>
      <c r="AF17" s="284"/>
      <c r="AG17" s="284"/>
    </row>
    <row r="22" spans="26:33">
      <c r="AF22"/>
    </row>
    <row r="23" spans="26:33">
      <c r="Z23" s="168"/>
      <c r="AF23"/>
    </row>
    <row r="24" spans="26:33">
      <c r="AF24"/>
    </row>
    <row r="25" spans="26:33">
      <c r="AF25"/>
    </row>
    <row r="27" spans="26:33">
      <c r="Z27" s="168"/>
    </row>
    <row r="29" spans="26:33">
      <c r="AB29" s="285"/>
    </row>
    <row r="33" spans="9:10">
      <c r="I33" s="168"/>
      <c r="J33" s="168"/>
    </row>
  </sheetData>
  <sheetProtection algorithmName="SHA-512" hashValue="BE1e3PKIqd6dA2HZZ6ZWGTejehkaGfZsRorZEAozNm2idxae4jmdMpTWIVmFCnwwtojIUzjdC/pAtYN1mnCUYA==" saltValue="rItxGbsuW/F+VvWAa4rK7g==" spinCount="100000" sheet="1" objects="1" scenarios="1" formatColumns="0" pivotTables="0"/>
  <pageMargins left="0.7" right="0.7" top="0.75" bottom="0.75" header="0.3" footer="0.3"/>
  <pageSetup orientation="portrait" r:id="rId3"/>
  <drawing r:id="rId4"/>
  <legacyDrawing r:id="rId5"/>
  <tableParts count="1">
    <tablePart r:id="rId6"/>
  </tableParts>
  <extLst>
    <ext xmlns:x14="http://schemas.microsoft.com/office/spreadsheetml/2009/9/main" uri="{CCE6A557-97BC-4b89-ADB6-D9C93CAAB3DF}">
      <x14:dataValidations xmlns:xm="http://schemas.microsoft.com/office/excel/2006/main" count="1">
        <x14:dataValidation type="list" allowBlank="1" showInputMessage="1" showErrorMessage="1" xr:uid="{EC52AA26-2123-425F-AFD7-57AF4134685A}">
          <x14:formula1>
            <xm:f>_xlfn.ANCHORARRAY(List!$A$4)</xm:f>
          </x14:formula1>
          <xm:sqref>Y4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Results">
    <pageSetUpPr autoPageBreaks="0" fitToPage="1"/>
  </sheetPr>
  <dimension ref="B2:U46"/>
  <sheetViews>
    <sheetView showGridLines="0" workbookViewId="0">
      <selection activeCell="B6" sqref="B6"/>
    </sheetView>
  </sheetViews>
  <sheetFormatPr baseColWidth="10" defaultColWidth="8.83203125" defaultRowHeight="15"/>
  <cols>
    <col min="1" max="1" width="4.6640625" customWidth="1"/>
    <col min="2" max="2" width="20" customWidth="1"/>
    <col min="3" max="3" width="4.33203125" style="55" customWidth="1"/>
    <col min="8" max="8" width="9" customWidth="1"/>
    <col min="10" max="12" width="9" customWidth="1"/>
    <col min="17" max="17" width="18.6640625" customWidth="1"/>
    <col min="18" max="18" width="18.6640625" style="55" customWidth="1"/>
    <col min="20" max="20" width="9" customWidth="1"/>
  </cols>
  <sheetData>
    <row r="2" spans="2:21" ht="8.75" customHeight="1"/>
    <row r="3" spans="2:21" ht="11.25" customHeight="1">
      <c r="D3" s="131"/>
      <c r="U3" s="167"/>
    </row>
    <row r="4" spans="2:21" ht="7.5" customHeight="1"/>
    <row r="5" spans="2:21" ht="27" thickBot="1">
      <c r="B5" s="266">
        <v>2026</v>
      </c>
      <c r="C5" s="57"/>
      <c r="D5" s="16"/>
      <c r="G5" s="16"/>
      <c r="H5" s="16"/>
      <c r="I5" s="16"/>
      <c r="L5" s="16"/>
      <c r="M5" s="16"/>
      <c r="N5" s="16"/>
      <c r="O5" s="54"/>
      <c r="Q5" s="198" t="s">
        <v>21</v>
      </c>
      <c r="R5" s="198" t="s">
        <v>22</v>
      </c>
    </row>
    <row r="6" spans="2:21" s="199" customFormat="1" ht="30.75" customHeight="1" thickTop="1" thickBot="1">
      <c r="B6" s="265" t="s">
        <v>50</v>
      </c>
      <c r="C6" s="200"/>
      <c r="D6" s="201">
        <f>DATE($B$5,2,1)-1</f>
        <v>46053</v>
      </c>
      <c r="E6" s="201">
        <f>DATE($B$5,3,1)-1</f>
        <v>46081</v>
      </c>
      <c r="F6" s="201">
        <f>DATE($B$5,4,1)-1</f>
        <v>46112</v>
      </c>
      <c r="G6" s="201">
        <f>DATE($B$5,5,1)-1</f>
        <v>46142</v>
      </c>
      <c r="H6" s="201">
        <f>DATE($B$5,6,1)-1</f>
        <v>46173</v>
      </c>
      <c r="I6" s="201">
        <f>DATE($B$5,7,1)-1</f>
        <v>46203</v>
      </c>
      <c r="J6" s="201">
        <f>DATE($B$5,8,1)-1</f>
        <v>46234</v>
      </c>
      <c r="K6" s="201">
        <f>DATE($B$5,9,1)-1</f>
        <v>46265</v>
      </c>
      <c r="L6" s="201">
        <f>DATE($B$5,10,1)-1</f>
        <v>46295</v>
      </c>
      <c r="M6" s="201">
        <f>DATE($B$5,11,1)-1</f>
        <v>46326</v>
      </c>
      <c r="N6" s="201">
        <f>DATE($B$5,12,1)-1</f>
        <v>46356</v>
      </c>
      <c r="O6" s="201">
        <f>DATE($B5+1,1,1)-1</f>
        <v>46387</v>
      </c>
      <c r="P6" s="202"/>
      <c r="Q6" s="246" cm="1">
        <f t="array" ref="Q6">_xlfn.IFS(BaseCurrency="AUD",DATE($B$5,7,1)-1,BaseCurrency="NZD",DATE($B$5,4,1)-1,BaseCurrency="GBP",DATE($B$5,4,1)-1,TRUE,DATE($B$5,7,1)-1)</f>
        <v>46203</v>
      </c>
      <c r="R6" s="203">
        <f>DATE($B5+1,1,1)-1</f>
        <v>46387</v>
      </c>
    </row>
    <row r="7" spans="2:21" ht="16" thickTop="1">
      <c r="B7" s="60" t="s">
        <v>41</v>
      </c>
      <c r="C7" s="56"/>
      <c r="D7" s="131"/>
      <c r="E7" s="131"/>
      <c r="F7" s="131"/>
      <c r="G7" s="131"/>
      <c r="H7" s="131"/>
      <c r="I7" s="131"/>
      <c r="J7" s="131"/>
      <c r="K7" s="131"/>
      <c r="L7" s="131"/>
      <c r="M7" s="131"/>
      <c r="N7" s="131"/>
      <c r="O7" s="131"/>
      <c r="P7" s="130"/>
      <c r="Q7" s="131"/>
      <c r="R7" s="131"/>
    </row>
    <row r="8" spans="2:21">
      <c r="B8" s="62" t="s">
        <v>43</v>
      </c>
      <c r="C8" s="56"/>
      <c r="D8" s="131"/>
      <c r="E8" s="131"/>
      <c r="F8" s="131"/>
      <c r="G8" s="131"/>
      <c r="H8" s="131"/>
      <c r="I8" s="131"/>
      <c r="J8" s="131"/>
      <c r="K8" s="131"/>
      <c r="L8" s="131"/>
      <c r="M8" s="131"/>
      <c r="N8" s="131"/>
      <c r="O8" s="131"/>
      <c r="P8" s="130"/>
      <c r="Q8" s="131"/>
      <c r="R8" s="131"/>
    </row>
    <row r="9" spans="2:21">
      <c r="B9" s="149" t="s">
        <v>23</v>
      </c>
      <c r="C9" s="56"/>
      <c r="D9" s="131">
        <f>SUMIFS(tbAllTrades[[Position Size]:[Position Size]],tbAllTrades[[Entry Date]:[Entry Date]],"&gt;"&amp;EOMONTH(D$6,-1),tbAllTrades[[Entry Date]:[Entry Date]],"&lt;="&amp;D$6,tbAllTrades[[Short Sold]:[Short Sold]],"&lt;&gt;Y",tbAllTrades[[Short Sold]:[Short Sold]],"&lt;&gt;F")*100</f>
        <v>0</v>
      </c>
      <c r="E9" s="131">
        <f>SUMIFS(tbAllTrades[[Position Size]:[Position Size]],tbAllTrades[[Entry Date]:[Entry Date]],"&gt;"&amp;EOMONTH(E$6,-1),tbAllTrades[[Entry Date]:[Entry Date]],"&lt;="&amp;E$6,tbAllTrades[[Short Sold]:[Short Sold]],"&lt;&gt;Y",tbAllTrades[[Short Sold]:[Short Sold]],"&lt;&gt;F")*100</f>
        <v>0</v>
      </c>
      <c r="F9" s="131">
        <f>SUMIFS(tbAllTrades[[Position Size]:[Position Size]],tbAllTrades[[Entry Date]:[Entry Date]],"&gt;"&amp;EOMONTH(F$6,-1),tbAllTrades[[Entry Date]:[Entry Date]],"&lt;="&amp;F$6,tbAllTrades[[Short Sold]:[Short Sold]],"&lt;&gt;Y",tbAllTrades[[Short Sold]:[Short Sold]],"&lt;&gt;F")*100</f>
        <v>0</v>
      </c>
      <c r="G9" s="131">
        <f>SUMIFS(tbAllTrades[[Position Size]:[Position Size]],tbAllTrades[[Entry Date]:[Entry Date]],"&gt;"&amp;EOMONTH(G$6,-1),tbAllTrades[[Entry Date]:[Entry Date]],"&lt;="&amp;G$6,tbAllTrades[[Short Sold]:[Short Sold]],"&lt;&gt;Y",tbAllTrades[[Short Sold]:[Short Sold]],"&lt;&gt;F")*100</f>
        <v>1</v>
      </c>
      <c r="H9" s="131">
        <f>SUMIFS(tbAllTrades[[Position Size]:[Position Size]],tbAllTrades[[Entry Date]:[Entry Date]],"&gt;"&amp;EOMONTH(H$6,-1),tbAllTrades[[Entry Date]:[Entry Date]],"&lt;="&amp;H$6,tbAllTrades[[Short Sold]:[Short Sold]],"&lt;&gt;Y",tbAllTrades[[Short Sold]:[Short Sold]],"&lt;&gt;F")*100</f>
        <v>0</v>
      </c>
      <c r="I9" s="131">
        <f>SUMIFS(tbAllTrades[[Position Size]:[Position Size]],tbAllTrades[[Entry Date]:[Entry Date]],"&gt;"&amp;EOMONTH(I$6,-1),tbAllTrades[[Entry Date]:[Entry Date]],"&lt;="&amp;I$6,tbAllTrades[[Short Sold]:[Short Sold]],"&lt;&gt;Y",tbAllTrades[[Short Sold]:[Short Sold]],"&lt;&gt;F")*100</f>
        <v>0</v>
      </c>
      <c r="J9" s="131">
        <f>SUMIFS(tbAllTrades[[Position Size]:[Position Size]],tbAllTrades[[Entry Date]:[Entry Date]],"&gt;"&amp;EOMONTH(J$6,-1),tbAllTrades[[Entry Date]:[Entry Date]],"&lt;="&amp;J$6,tbAllTrades[[Short Sold]:[Short Sold]],"&lt;&gt;Y",tbAllTrades[[Short Sold]:[Short Sold]],"&lt;&gt;F")*100</f>
        <v>0</v>
      </c>
      <c r="K9" s="131">
        <f>SUMIFS(tbAllTrades[[Position Size]:[Position Size]],tbAllTrades[[Entry Date]:[Entry Date]],"&gt;"&amp;EOMONTH(K$6,-1),tbAllTrades[[Entry Date]:[Entry Date]],"&lt;="&amp;K$6,tbAllTrades[[Short Sold]:[Short Sold]],"&lt;&gt;Y",tbAllTrades[[Short Sold]:[Short Sold]],"&lt;&gt;F")*100</f>
        <v>0</v>
      </c>
      <c r="L9" s="131">
        <f>SUMIFS(tbAllTrades[[Position Size]:[Position Size]],tbAllTrades[[Entry Date]:[Entry Date]],"&gt;"&amp;EOMONTH(L$6,-1),tbAllTrades[[Entry Date]:[Entry Date]],"&lt;="&amp;L$6,tbAllTrades[[Short Sold]:[Short Sold]],"&lt;&gt;Y",tbAllTrades[[Short Sold]:[Short Sold]],"&lt;&gt;F")*100</f>
        <v>0</v>
      </c>
      <c r="M9" s="131">
        <f>SUMIFS(tbAllTrades[[Position Size]:[Position Size]],tbAllTrades[[Entry Date]:[Entry Date]],"&gt;"&amp;EOMONTH(M$6,-1),tbAllTrades[[Entry Date]:[Entry Date]],"&lt;="&amp;M$6,tbAllTrades[[Short Sold]:[Short Sold]],"&lt;&gt;Y",tbAllTrades[[Short Sold]:[Short Sold]],"&lt;&gt;F")*100</f>
        <v>0</v>
      </c>
      <c r="N9" s="131">
        <f>SUMIFS(tbAllTrades[[Position Size]:[Position Size]],tbAllTrades[[Entry Date]:[Entry Date]],"&gt;"&amp;EOMONTH(N$6,-1),tbAllTrades[[Entry Date]:[Entry Date]],"&lt;="&amp;N$6,tbAllTrades[[Short Sold]:[Short Sold]],"&lt;&gt;Y",tbAllTrades[[Short Sold]:[Short Sold]],"&lt;&gt;F")*100</f>
        <v>0</v>
      </c>
      <c r="O9" s="131">
        <f>SUMIFS(tbAllTrades[[Position Size]:[Position Size]],tbAllTrades[[Entry Date]:[Entry Date]],"&gt;"&amp;EOMONTH(O$6,-1),tbAllTrades[[Entry Date]:[Entry Date]],"&lt;="&amp;O$6,tbAllTrades[[Short Sold]:[Short Sold]],"&lt;&gt;Y",tbAllTrades[[Short Sold]:[Short Sold]],"&lt;&gt;F")*100</f>
        <v>0</v>
      </c>
      <c r="P9" s="130"/>
      <c r="Q9" s="131">
        <f>SUMIFS(tbAllTrades[[Position Size]:[Position Size]],tbAllTrades[[Entry Date]:[Entry Date]],"&gt;"&amp;EOMONTH(Q$6,-12),tbAllTrades[[Entry Date]:[Entry Date]],"&lt;="&amp;Q$6,tbAllTrades[[Short Sold]:[Short Sold]],"&lt;&gt;Y",tbAllTrades[[Short Sold]:[Short Sold]],"&lt;&gt;F")*100</f>
        <v>1</v>
      </c>
      <c r="R9" s="131">
        <f>SUMIFS(tbAllTrades[[Position Size]:[Position Size]],tbAllTrades[[Entry Date]:[Entry Date]],"&gt;"&amp;EOMONTH(R$6,-12),tbAllTrades[[Entry Date]:[Entry Date]],"&lt;="&amp;R$6,tbAllTrades[[Short Sold]:[Short Sold]],"&lt;&gt;Y",tbAllTrades[[Short Sold]:[Short Sold]],"&lt;&gt;F")*100</f>
        <v>1</v>
      </c>
    </row>
    <row r="10" spans="2:21" hidden="1">
      <c r="B10" s="149" t="s">
        <v>19</v>
      </c>
      <c r="C10" s="56"/>
      <c r="D10" s="131">
        <f>SUMIFS(tbAllTrades[[Position Size]:[Position Size]],tbAllTrades[[Entry Date]:[Entry Date]],"&gt;"&amp;EOMONTH(D$6,-1),tbAllTrades[[Entry Date]:[Entry Date]],"&lt;="&amp;D$6,tbAllTrades[[Short Sold]:[Short Sold]],"=Y")*100</f>
        <v>0</v>
      </c>
      <c r="E10" s="131">
        <f>SUMIFS(tbAllTrades[[Position Size]:[Position Size]],tbAllTrades[[Entry Date]:[Entry Date]],"&gt;"&amp;EOMONTH(E$6,-1),tbAllTrades[[Entry Date]:[Entry Date]],"&lt;="&amp;E$6,tbAllTrades[[Short Sold]:[Short Sold]],"=Y")*100</f>
        <v>0</v>
      </c>
      <c r="F10" s="131">
        <f>SUMIFS(tbAllTrades[[Position Size]:[Position Size]],tbAllTrades[[Entry Date]:[Entry Date]],"&gt;"&amp;EOMONTH(F$6,-1),tbAllTrades[[Entry Date]:[Entry Date]],"&lt;="&amp;F$6,tbAllTrades[[Short Sold]:[Short Sold]],"=Y")*100</f>
        <v>0</v>
      </c>
      <c r="G10" s="131">
        <f>SUMIFS(tbAllTrades[[Position Size]:[Position Size]],tbAllTrades[[Entry Date]:[Entry Date]],"&gt;"&amp;EOMONTH(G$6,-1),tbAllTrades[[Entry Date]:[Entry Date]],"&lt;="&amp;G$6,tbAllTrades[[Short Sold]:[Short Sold]],"=Y")*100</f>
        <v>0</v>
      </c>
      <c r="H10" s="131">
        <f>SUMIFS(tbAllTrades[[Position Size]:[Position Size]],tbAllTrades[[Entry Date]:[Entry Date]],"&gt;"&amp;EOMONTH(H$6,-1),tbAllTrades[[Entry Date]:[Entry Date]],"&lt;="&amp;H$6,tbAllTrades[[Short Sold]:[Short Sold]],"=Y")*100</f>
        <v>0</v>
      </c>
      <c r="I10" s="131">
        <f>SUMIFS(tbAllTrades[[Position Size]:[Position Size]],tbAllTrades[[Entry Date]:[Entry Date]],"&gt;"&amp;EOMONTH(I$6,-1),tbAllTrades[[Entry Date]:[Entry Date]],"&lt;="&amp;I$6,tbAllTrades[[Short Sold]:[Short Sold]],"=Y")*100</f>
        <v>0</v>
      </c>
      <c r="J10" s="131">
        <f>SUMIFS(tbAllTrades[[Position Size]:[Position Size]],tbAllTrades[[Entry Date]:[Entry Date]],"&gt;"&amp;EOMONTH(J$6,-1),tbAllTrades[[Entry Date]:[Entry Date]],"&lt;="&amp;J$6,tbAllTrades[[Short Sold]:[Short Sold]],"=Y")*100</f>
        <v>0</v>
      </c>
      <c r="K10" s="131">
        <f>SUMIFS(tbAllTrades[[Position Size]:[Position Size]],tbAllTrades[[Entry Date]:[Entry Date]],"&gt;"&amp;EOMONTH(K$6,-1),tbAllTrades[[Entry Date]:[Entry Date]],"&lt;="&amp;K$6,tbAllTrades[[Short Sold]:[Short Sold]],"=Y")*100</f>
        <v>0</v>
      </c>
      <c r="L10" s="131">
        <f>SUMIFS(tbAllTrades[[Position Size]:[Position Size]],tbAllTrades[[Entry Date]:[Entry Date]],"&gt;"&amp;EOMONTH(L$6,-1),tbAllTrades[[Entry Date]:[Entry Date]],"&lt;="&amp;L$6,tbAllTrades[[Short Sold]:[Short Sold]],"=Y")*100</f>
        <v>0</v>
      </c>
      <c r="M10" s="131">
        <f>SUMIFS(tbAllTrades[[Position Size]:[Position Size]],tbAllTrades[[Entry Date]:[Entry Date]],"&gt;"&amp;EOMONTH(M$6,-1),tbAllTrades[[Entry Date]:[Entry Date]],"&lt;="&amp;M$6,tbAllTrades[[Short Sold]:[Short Sold]],"=Y")*100</f>
        <v>0</v>
      </c>
      <c r="N10" s="131">
        <f>SUMIFS(tbAllTrades[[Position Size]:[Position Size]],tbAllTrades[[Entry Date]:[Entry Date]],"&gt;"&amp;EOMONTH(N$6,-1),tbAllTrades[[Entry Date]:[Entry Date]],"&lt;="&amp;N$6,tbAllTrades[[Short Sold]:[Short Sold]],"=Y")*100</f>
        <v>0</v>
      </c>
      <c r="O10" s="131">
        <f>SUMIFS(tbAllTrades[[Position Size]:[Position Size]],tbAllTrades[[Entry Date]:[Entry Date]],"&gt;"&amp;EOMONTH(O$6,-1),tbAllTrades[[Entry Date]:[Entry Date]],"&lt;="&amp;O$6,tbAllTrades[[Short Sold]:[Short Sold]],"=Y")*100</f>
        <v>0</v>
      </c>
      <c r="P10" s="131"/>
      <c r="Q10" s="131">
        <f>SUMIFS(tbAllTrades[[Position Size]:[Position Size]],tbAllTrades[[Entry Date]:[Entry Date]],"&gt;"&amp;EOMONTH(Q$6,-12),tbAllTrades[[Entry Date]:[Entry Date]],"&lt;="&amp;Q$6,tbAllTrades[[Short Sold]:[Short Sold]],"=Y")*100</f>
        <v>0</v>
      </c>
      <c r="R10" s="131">
        <f>SUMIFS(tbAllTrades[[Position Size]:[Position Size]],tbAllTrades[[Entry Date]:[Entry Date]],"&gt;"&amp;EOMONTH(R$6,-12),tbAllTrades[[Entry Date]:[Entry Date]],"&lt;="&amp;R$6,tbAllTrades[[Short Sold]:[Short Sold]],"=Y")*100</f>
        <v>0</v>
      </c>
    </row>
    <row r="11" spans="2:21">
      <c r="B11" s="62" t="s">
        <v>12</v>
      </c>
      <c r="C11" s="56"/>
      <c r="D11" s="132"/>
      <c r="E11" s="132"/>
      <c r="F11" s="132"/>
      <c r="G11" s="132"/>
      <c r="H11" s="132"/>
      <c r="I11" s="132"/>
      <c r="J11" s="132"/>
      <c r="K11" s="132"/>
      <c r="L11" s="132"/>
      <c r="M11" s="132"/>
      <c r="N11" s="132"/>
      <c r="O11" s="132"/>
      <c r="P11" s="130"/>
      <c r="Q11" s="131"/>
      <c r="R11" s="131"/>
    </row>
    <row r="12" spans="2:21">
      <c r="B12" s="149" t="s">
        <v>23</v>
      </c>
      <c r="C12" s="56"/>
      <c r="D12" s="132">
        <f>SUMIFS(tbAllTrades[[Position Size]:[Position Size]],tbAllTrades[[Entry Date]:[Entry Date]],"&lt;="&amp;D$6,tbAllTrades[[Exit Date]:[Exit Date]],"&gt;"&amp;D$6,tbAllTrades[[Short Sold]:[Short Sold]],"&lt;&gt;Y",tbAllTrades[[Short Sold]:[Short Sold]],"&lt;&gt;F")*100+SUMIFS(tbAllTrades[[Position Size]:[Position Size]],tbAllTrades[[Entry Date]:[Entry Date]],"&lt;="&amp;D$6,tbAllTrades[[Exit Date]:[Exit Date]],"=",tbAllTrades[[Short Sold]:[Short Sold]],"&lt;&gt;Y",tbAllTrades[[Short Sold]:[Short Sold]],"&lt;&gt;F")*100</f>
        <v>0</v>
      </c>
      <c r="E12" s="132">
        <f>SUMIFS(tbAllTrades[[Position Size]:[Position Size]],tbAllTrades[[Entry Date]:[Entry Date]],"&lt;="&amp;E$6,tbAllTrades[[Exit Date]:[Exit Date]],"&gt;"&amp;E$6,tbAllTrades[[Short Sold]:[Short Sold]],"&lt;&gt;Y",tbAllTrades[[Short Sold]:[Short Sold]],"&lt;&gt;F")*100+SUMIFS(tbAllTrades[[Position Size]:[Position Size]],tbAllTrades[[Entry Date]:[Entry Date]],"&lt;="&amp;E$6,tbAllTrades[[Exit Date]:[Exit Date]],"=",tbAllTrades[[Short Sold]:[Short Sold]],"&lt;&gt;Y",tbAllTrades[[Short Sold]:[Short Sold]],"&lt;&gt;F")*100</f>
        <v>0</v>
      </c>
      <c r="F12" s="132">
        <f>SUMIFS(tbAllTrades[[Position Size]:[Position Size]],tbAllTrades[[Entry Date]:[Entry Date]],"&lt;="&amp;F$6,tbAllTrades[[Exit Date]:[Exit Date]],"&gt;"&amp;F$6,tbAllTrades[[Short Sold]:[Short Sold]],"&lt;&gt;Y",tbAllTrades[[Short Sold]:[Short Sold]],"&lt;&gt;F")*100+SUMIFS(tbAllTrades[[Position Size]:[Position Size]],tbAllTrades[[Entry Date]:[Entry Date]],"&lt;="&amp;F$6,tbAllTrades[[Exit Date]:[Exit Date]],"=",tbAllTrades[[Short Sold]:[Short Sold]],"&lt;&gt;Y",tbAllTrades[[Short Sold]:[Short Sold]],"&lt;&gt;F")*100</f>
        <v>0</v>
      </c>
      <c r="G12" s="132">
        <f>SUMIFS(tbAllTrades[[Position Size]:[Position Size]],tbAllTrades[[Entry Date]:[Entry Date]],"&lt;="&amp;G$6,tbAllTrades[[Exit Date]:[Exit Date]],"&gt;"&amp;G$6,tbAllTrades[[Short Sold]:[Short Sold]],"&lt;&gt;Y",tbAllTrades[[Short Sold]:[Short Sold]],"&lt;&gt;F")*100+SUMIFS(tbAllTrades[[Position Size]:[Position Size]],tbAllTrades[[Entry Date]:[Entry Date]],"&lt;="&amp;G$6,tbAllTrades[[Exit Date]:[Exit Date]],"=",tbAllTrades[[Short Sold]:[Short Sold]],"&lt;&gt;Y",tbAllTrades[[Short Sold]:[Short Sold]],"&lt;&gt;F")*100</f>
        <v>1</v>
      </c>
      <c r="H12" s="132">
        <f>SUMIFS(tbAllTrades[[Position Size]:[Position Size]],tbAllTrades[[Entry Date]:[Entry Date]],"&lt;="&amp;H$6,tbAllTrades[[Exit Date]:[Exit Date]],"&gt;"&amp;H$6,tbAllTrades[[Short Sold]:[Short Sold]],"&lt;&gt;Y",tbAllTrades[[Short Sold]:[Short Sold]],"&lt;&gt;F")*100+SUMIFS(tbAllTrades[[Position Size]:[Position Size]],tbAllTrades[[Entry Date]:[Entry Date]],"&lt;="&amp;H$6,tbAllTrades[[Exit Date]:[Exit Date]],"=",tbAllTrades[[Short Sold]:[Short Sold]],"&lt;&gt;Y",tbAllTrades[[Short Sold]:[Short Sold]],"&lt;&gt;F")*100</f>
        <v>1</v>
      </c>
      <c r="I12" s="132">
        <f>SUMIFS(tbAllTrades[[Position Size]:[Position Size]],tbAllTrades[[Entry Date]:[Entry Date]],"&lt;="&amp;I$6,tbAllTrades[[Exit Date]:[Exit Date]],"&gt;"&amp;I$6,tbAllTrades[[Short Sold]:[Short Sold]],"&lt;&gt;Y",tbAllTrades[[Short Sold]:[Short Sold]],"&lt;&gt;F")*100+SUMIFS(tbAllTrades[[Position Size]:[Position Size]],tbAllTrades[[Entry Date]:[Entry Date]],"&lt;="&amp;I$6,tbAllTrades[[Exit Date]:[Exit Date]],"=",tbAllTrades[[Short Sold]:[Short Sold]],"&lt;&gt;Y",tbAllTrades[[Short Sold]:[Short Sold]],"&lt;&gt;F")*100</f>
        <v>1</v>
      </c>
      <c r="J12" s="132">
        <f>SUMIFS(tbAllTrades[[Position Size]:[Position Size]],tbAllTrades[[Entry Date]:[Entry Date]],"&lt;="&amp;J$6,tbAllTrades[[Exit Date]:[Exit Date]],"&gt;"&amp;J$6,tbAllTrades[[Short Sold]:[Short Sold]],"&lt;&gt;Y",tbAllTrades[[Short Sold]:[Short Sold]],"&lt;&gt;F")*100+SUMIFS(tbAllTrades[[Position Size]:[Position Size]],tbAllTrades[[Entry Date]:[Entry Date]],"&lt;="&amp;J$6,tbAllTrades[[Exit Date]:[Exit Date]],"=",tbAllTrades[[Short Sold]:[Short Sold]],"&lt;&gt;Y",tbAllTrades[[Short Sold]:[Short Sold]],"&lt;&gt;F")*100</f>
        <v>1</v>
      </c>
      <c r="K12" s="132">
        <f>SUMIFS(tbAllTrades[[Position Size]:[Position Size]],tbAllTrades[[Entry Date]:[Entry Date]],"&lt;="&amp;K$6,tbAllTrades[[Exit Date]:[Exit Date]],"&gt;"&amp;K$6,tbAllTrades[[Short Sold]:[Short Sold]],"&lt;&gt;Y",tbAllTrades[[Short Sold]:[Short Sold]],"&lt;&gt;F")*100+SUMIFS(tbAllTrades[[Position Size]:[Position Size]],tbAllTrades[[Entry Date]:[Entry Date]],"&lt;="&amp;K$6,tbAllTrades[[Exit Date]:[Exit Date]],"=",tbAllTrades[[Short Sold]:[Short Sold]],"&lt;&gt;Y",tbAllTrades[[Short Sold]:[Short Sold]],"&lt;&gt;F")*100</f>
        <v>1</v>
      </c>
      <c r="L12" s="132">
        <f>SUMIFS(tbAllTrades[[Position Size]:[Position Size]],tbAllTrades[[Entry Date]:[Entry Date]],"&lt;="&amp;L$6,tbAllTrades[[Exit Date]:[Exit Date]],"&gt;"&amp;L$6,tbAllTrades[[Short Sold]:[Short Sold]],"&lt;&gt;Y",tbAllTrades[[Short Sold]:[Short Sold]],"&lt;&gt;F")*100+SUMIFS(tbAllTrades[[Position Size]:[Position Size]],tbAllTrades[[Entry Date]:[Entry Date]],"&lt;="&amp;L$6,tbAllTrades[[Exit Date]:[Exit Date]],"=",tbAllTrades[[Short Sold]:[Short Sold]],"&lt;&gt;Y",tbAllTrades[[Short Sold]:[Short Sold]],"&lt;&gt;F")*100</f>
        <v>1</v>
      </c>
      <c r="M12" s="132">
        <f>SUMIFS(tbAllTrades[[Position Size]:[Position Size]],tbAllTrades[[Entry Date]:[Entry Date]],"&lt;="&amp;M$6,tbAllTrades[[Exit Date]:[Exit Date]],"&gt;"&amp;M$6,tbAllTrades[[Short Sold]:[Short Sold]],"&lt;&gt;Y",tbAllTrades[[Short Sold]:[Short Sold]],"&lt;&gt;F")*100+SUMIFS(tbAllTrades[[Position Size]:[Position Size]],tbAllTrades[[Entry Date]:[Entry Date]],"&lt;="&amp;M$6,tbAllTrades[[Exit Date]:[Exit Date]],"=",tbAllTrades[[Short Sold]:[Short Sold]],"&lt;&gt;Y",tbAllTrades[[Short Sold]:[Short Sold]],"&lt;&gt;F")*100</f>
        <v>1</v>
      </c>
      <c r="N12" s="132">
        <f>SUMIFS(tbAllTrades[[Position Size]:[Position Size]],tbAllTrades[[Entry Date]:[Entry Date]],"&lt;="&amp;N$6,tbAllTrades[[Exit Date]:[Exit Date]],"&gt;"&amp;N$6,tbAllTrades[[Short Sold]:[Short Sold]],"&lt;&gt;Y",tbAllTrades[[Short Sold]:[Short Sold]],"&lt;&gt;F")*100+SUMIFS(tbAllTrades[[Position Size]:[Position Size]],tbAllTrades[[Entry Date]:[Entry Date]],"&lt;="&amp;N$6,tbAllTrades[[Exit Date]:[Exit Date]],"=",tbAllTrades[[Short Sold]:[Short Sold]],"&lt;&gt;Y",tbAllTrades[[Short Sold]:[Short Sold]],"&lt;&gt;F")*100</f>
        <v>1</v>
      </c>
      <c r="O12" s="132">
        <f>SUMIFS(tbAllTrades[[Position Size]:[Position Size]],tbAllTrades[[Entry Date]:[Entry Date]],"&lt;="&amp;O$6,tbAllTrades[[Exit Date]:[Exit Date]],"&gt;"&amp;O$6,tbAllTrades[[Short Sold]:[Short Sold]],"&lt;&gt;Y",tbAllTrades[[Short Sold]:[Short Sold]],"&lt;&gt;F")*100+SUMIFS(tbAllTrades[[Position Size]:[Position Size]],tbAllTrades[[Entry Date]:[Entry Date]],"&lt;="&amp;O$6,tbAllTrades[[Exit Date]:[Exit Date]],"=",tbAllTrades[[Short Sold]:[Short Sold]],"&lt;&gt;Y",tbAllTrades[[Short Sold]:[Short Sold]],"&lt;&gt;F")*100</f>
        <v>1</v>
      </c>
      <c r="P12" s="130"/>
      <c r="Q12" s="131"/>
      <c r="R12" s="131"/>
    </row>
    <row r="13" spans="2:21" hidden="1">
      <c r="B13" s="149" t="s">
        <v>19</v>
      </c>
      <c r="C13" s="56"/>
      <c r="D13" s="132">
        <f>SUMIFS(tbAllTrades[[Position Size]:[Position Size]],tbAllTrades[[Entry Date]:[Entry Date]],"&lt;="&amp;D$6,tbAllTrades[[Exit Date]:[Exit Date]],"&gt;"&amp;D$6,tbAllTrades[[Short Sold]:[Short Sold]],"=Y")*100+SUMIFS(tbAllTrades[[Position Size]:[Position Size]],tbAllTrades[[Entry Date]:[Entry Date]],"&lt;="&amp;D$6,tbAllTrades[[Exit Date]:[Exit Date]],"=",tbAllTrades[[Short Sold]:[Short Sold]],"=Y")*100</f>
        <v>0</v>
      </c>
      <c r="E13" s="132">
        <f>SUMIFS(tbAllTrades[[Position Size]:[Position Size]],tbAllTrades[[Entry Date]:[Entry Date]],"&lt;="&amp;E$6,tbAllTrades[[Exit Date]:[Exit Date]],"&gt;"&amp;E$6,tbAllTrades[[Short Sold]:[Short Sold]],"=Y")*100+SUMIFS(tbAllTrades[[Position Size]:[Position Size]],tbAllTrades[[Entry Date]:[Entry Date]],"&lt;="&amp;E$6,tbAllTrades[[Exit Date]:[Exit Date]],"=",tbAllTrades[[Short Sold]:[Short Sold]],"=Y")*100</f>
        <v>0</v>
      </c>
      <c r="F13" s="132">
        <f>SUMIFS(tbAllTrades[[Position Size]:[Position Size]],tbAllTrades[[Entry Date]:[Entry Date]],"&lt;="&amp;F$6,tbAllTrades[[Exit Date]:[Exit Date]],"&gt;"&amp;F$6,tbAllTrades[[Short Sold]:[Short Sold]],"=Y")*100+SUMIFS(tbAllTrades[[Position Size]:[Position Size]],tbAllTrades[[Entry Date]:[Entry Date]],"&lt;="&amp;F$6,tbAllTrades[[Exit Date]:[Exit Date]],"=",tbAllTrades[[Short Sold]:[Short Sold]],"=Y")*100</f>
        <v>0</v>
      </c>
      <c r="G13" s="132">
        <f>SUMIFS(tbAllTrades[[Position Size]:[Position Size]],tbAllTrades[[Entry Date]:[Entry Date]],"&lt;="&amp;G$6,tbAllTrades[[Exit Date]:[Exit Date]],"&gt;"&amp;G$6,tbAllTrades[[Short Sold]:[Short Sold]],"=Y")*100+SUMIFS(tbAllTrades[[Position Size]:[Position Size]],tbAllTrades[[Entry Date]:[Entry Date]],"&lt;="&amp;G$6,tbAllTrades[[Exit Date]:[Exit Date]],"=",tbAllTrades[[Short Sold]:[Short Sold]],"=Y")*100</f>
        <v>0</v>
      </c>
      <c r="H13" s="132">
        <f>SUMIFS(tbAllTrades[[Position Size]:[Position Size]],tbAllTrades[[Entry Date]:[Entry Date]],"&lt;="&amp;H$6,tbAllTrades[[Exit Date]:[Exit Date]],"&gt;"&amp;H$6,tbAllTrades[[Short Sold]:[Short Sold]],"=Y")*100+SUMIFS(tbAllTrades[[Position Size]:[Position Size]],tbAllTrades[[Entry Date]:[Entry Date]],"&lt;="&amp;H$6,tbAllTrades[[Exit Date]:[Exit Date]],"=",tbAllTrades[[Short Sold]:[Short Sold]],"=Y")*100</f>
        <v>0</v>
      </c>
      <c r="I13" s="132">
        <f>SUMIFS(tbAllTrades[[Position Size]:[Position Size]],tbAllTrades[[Entry Date]:[Entry Date]],"&lt;="&amp;I$6,tbAllTrades[[Exit Date]:[Exit Date]],"&gt;"&amp;I$6,tbAllTrades[[Short Sold]:[Short Sold]],"=Y")*100+SUMIFS(tbAllTrades[[Position Size]:[Position Size]],tbAllTrades[[Entry Date]:[Entry Date]],"&lt;="&amp;I$6,tbAllTrades[[Exit Date]:[Exit Date]],"=",tbAllTrades[[Short Sold]:[Short Sold]],"=Y")*100</f>
        <v>0</v>
      </c>
      <c r="J13" s="132">
        <f>SUMIFS(tbAllTrades[[Position Size]:[Position Size]],tbAllTrades[[Entry Date]:[Entry Date]],"&lt;="&amp;J$6,tbAllTrades[[Exit Date]:[Exit Date]],"&gt;"&amp;J$6,tbAllTrades[[Short Sold]:[Short Sold]],"=Y")*100+SUMIFS(tbAllTrades[[Position Size]:[Position Size]],tbAllTrades[[Entry Date]:[Entry Date]],"&lt;="&amp;J$6,tbAllTrades[[Exit Date]:[Exit Date]],"=",tbAllTrades[[Short Sold]:[Short Sold]],"=Y")*100</f>
        <v>0</v>
      </c>
      <c r="K13" s="132">
        <f>SUMIFS(tbAllTrades[[Position Size]:[Position Size]],tbAllTrades[[Entry Date]:[Entry Date]],"&lt;="&amp;K$6,tbAllTrades[[Exit Date]:[Exit Date]],"&gt;"&amp;K$6,tbAllTrades[[Short Sold]:[Short Sold]],"=Y")*100+SUMIFS(tbAllTrades[[Position Size]:[Position Size]],tbAllTrades[[Entry Date]:[Entry Date]],"&lt;="&amp;K$6,tbAllTrades[[Exit Date]:[Exit Date]],"=",tbAllTrades[[Short Sold]:[Short Sold]],"=Y")*100</f>
        <v>0</v>
      </c>
      <c r="L13" s="132">
        <f>SUMIFS(tbAllTrades[[Position Size]:[Position Size]],tbAllTrades[[Entry Date]:[Entry Date]],"&lt;="&amp;L$6,tbAllTrades[[Exit Date]:[Exit Date]],"&gt;"&amp;L$6,tbAllTrades[[Short Sold]:[Short Sold]],"=Y")*100+SUMIFS(tbAllTrades[[Position Size]:[Position Size]],tbAllTrades[[Entry Date]:[Entry Date]],"&lt;="&amp;L$6,tbAllTrades[[Exit Date]:[Exit Date]],"=",tbAllTrades[[Short Sold]:[Short Sold]],"=Y")*100</f>
        <v>0</v>
      </c>
      <c r="M13" s="132">
        <f>SUMIFS(tbAllTrades[[Position Size]:[Position Size]],tbAllTrades[[Entry Date]:[Entry Date]],"&lt;="&amp;M$6,tbAllTrades[[Exit Date]:[Exit Date]],"&gt;"&amp;M$6,tbAllTrades[[Short Sold]:[Short Sold]],"=Y")*100+SUMIFS(tbAllTrades[[Position Size]:[Position Size]],tbAllTrades[[Entry Date]:[Entry Date]],"&lt;="&amp;M$6,tbAllTrades[[Exit Date]:[Exit Date]],"=",tbAllTrades[[Short Sold]:[Short Sold]],"=Y")*100</f>
        <v>0</v>
      </c>
      <c r="N13" s="132">
        <f>SUMIFS(tbAllTrades[[Position Size]:[Position Size]],tbAllTrades[[Entry Date]:[Entry Date]],"&lt;="&amp;N$6,tbAllTrades[[Exit Date]:[Exit Date]],"&gt;"&amp;N$6,tbAllTrades[[Short Sold]:[Short Sold]],"=Y")*100+SUMIFS(tbAllTrades[[Position Size]:[Position Size]],tbAllTrades[[Entry Date]:[Entry Date]],"&lt;="&amp;N$6,tbAllTrades[[Exit Date]:[Exit Date]],"=",tbAllTrades[[Short Sold]:[Short Sold]],"=Y")*100</f>
        <v>0</v>
      </c>
      <c r="O13" s="132">
        <f>SUMIFS(tbAllTrades[[Position Size]:[Position Size]],tbAllTrades[[Entry Date]:[Entry Date]],"&lt;="&amp;O$6,tbAllTrades[[Exit Date]:[Exit Date]],"&gt;"&amp;O$6,tbAllTrades[[Short Sold]:[Short Sold]],"=Y")*100+SUMIFS(tbAllTrades[[Position Size]:[Position Size]],tbAllTrades[[Entry Date]:[Entry Date]],"&lt;="&amp;O$6,tbAllTrades[[Exit Date]:[Exit Date]],"=",tbAllTrades[[Short Sold]:[Short Sold]],"=Y")*100</f>
        <v>0</v>
      </c>
      <c r="P13" s="130"/>
      <c r="Q13" s="131"/>
      <c r="R13" s="131"/>
    </row>
    <row r="14" spans="2:21" ht="3.75" customHeight="1">
      <c r="B14" s="62"/>
      <c r="C14" s="56"/>
      <c r="D14" s="133"/>
      <c r="E14" s="133"/>
      <c r="F14" s="133"/>
      <c r="G14" s="133"/>
      <c r="H14" s="133"/>
      <c r="I14" s="133"/>
      <c r="J14" s="133"/>
      <c r="K14" s="133"/>
      <c r="L14" s="133"/>
      <c r="M14" s="133"/>
      <c r="N14" s="133"/>
      <c r="O14" s="133"/>
      <c r="P14" s="130"/>
      <c r="Q14" s="131"/>
      <c r="R14" s="131"/>
    </row>
    <row r="15" spans="2:21">
      <c r="B15" s="60" t="s">
        <v>42</v>
      </c>
      <c r="C15" s="56"/>
      <c r="D15" s="134"/>
      <c r="E15" s="134"/>
      <c r="F15" s="134"/>
      <c r="G15" s="134"/>
      <c r="H15" s="134"/>
      <c r="I15" s="134"/>
      <c r="J15" s="134"/>
      <c r="K15" s="134"/>
      <c r="L15" s="134"/>
      <c r="M15" s="134"/>
      <c r="N15" s="134"/>
      <c r="O15" s="134"/>
      <c r="P15" s="130"/>
      <c r="Q15" s="134"/>
      <c r="R15" s="134"/>
    </row>
    <row r="16" spans="2:21">
      <c r="B16" s="61" t="s">
        <v>43</v>
      </c>
      <c r="C16" s="56"/>
      <c r="D16" s="134"/>
      <c r="E16" s="134"/>
      <c r="F16" s="134"/>
      <c r="G16" s="134"/>
      <c r="H16" s="134"/>
      <c r="I16" s="134"/>
      <c r="J16" s="134"/>
      <c r="K16" s="134"/>
      <c r="L16" s="134"/>
      <c r="M16" s="134"/>
      <c r="N16" s="134"/>
      <c r="O16" s="134"/>
      <c r="P16" s="130"/>
      <c r="Q16" s="134"/>
      <c r="R16" s="134"/>
    </row>
    <row r="17" spans="2:18">
      <c r="B17" s="149" t="s">
        <v>23</v>
      </c>
      <c r="C17" s="56"/>
      <c r="D17" s="134">
        <f>COUNTIFS(tbAllTrades[[Entry Date]:[Entry Date]],"&gt;"&amp;EOMONTH(D$6,-1),tbAllTrades[[Entry Date]:[Entry Date]],"&lt;="&amp;D$6,tbAllTrades[[Short Sold]:[Short Sold]],"&lt;&gt;Y",tbAllTrades[[Short Sold]:[Short Sold]],"&lt;&gt;F")</f>
        <v>0</v>
      </c>
      <c r="E17" s="134">
        <f>COUNTIFS(tbAllTrades[[Entry Date]:[Entry Date]],"&gt;"&amp;EOMONTH(E$6,-1),tbAllTrades[[Entry Date]:[Entry Date]],"&lt;="&amp;E$6,tbAllTrades[[Short Sold]:[Short Sold]],"&lt;&gt;Y",tbAllTrades[[Short Sold]:[Short Sold]],"&lt;&gt;F")</f>
        <v>0</v>
      </c>
      <c r="F17" s="134">
        <f>COUNTIFS(tbAllTrades[[Entry Date]:[Entry Date]],"&gt;"&amp;EOMONTH(F$6,-1),tbAllTrades[[Entry Date]:[Entry Date]],"&lt;="&amp;F$6,tbAllTrades[[Short Sold]:[Short Sold]],"&lt;&gt;Y",tbAllTrades[[Short Sold]:[Short Sold]],"&lt;&gt;F")</f>
        <v>0</v>
      </c>
      <c r="G17" s="134">
        <f>COUNTIFS(tbAllTrades[[Entry Date]:[Entry Date]],"&gt;"&amp;EOMONTH(G$6,-1),tbAllTrades[[Entry Date]:[Entry Date]],"&lt;="&amp;G$6,tbAllTrades[[Short Sold]:[Short Sold]],"&lt;&gt;Y",tbAllTrades[[Short Sold]:[Short Sold]],"&lt;&gt;F")</f>
        <v>1</v>
      </c>
      <c r="H17" s="134">
        <f>COUNTIFS(tbAllTrades[[Entry Date]:[Entry Date]],"&gt;"&amp;EOMONTH(H$6,-1),tbAllTrades[[Entry Date]:[Entry Date]],"&lt;="&amp;H$6,tbAllTrades[[Short Sold]:[Short Sold]],"&lt;&gt;Y",tbAllTrades[[Short Sold]:[Short Sold]],"&lt;&gt;F")</f>
        <v>0</v>
      </c>
      <c r="I17" s="134">
        <f>COUNTIFS(tbAllTrades[[Entry Date]:[Entry Date]],"&gt;"&amp;EOMONTH(I$6,-1),tbAllTrades[[Entry Date]:[Entry Date]],"&lt;="&amp;I$6,tbAllTrades[[Short Sold]:[Short Sold]],"&lt;&gt;Y",tbAllTrades[[Short Sold]:[Short Sold]],"&lt;&gt;F")</f>
        <v>0</v>
      </c>
      <c r="J17" s="134">
        <f>COUNTIFS(tbAllTrades[[Entry Date]:[Entry Date]],"&gt;"&amp;EOMONTH(J$6,-1),tbAllTrades[[Entry Date]:[Entry Date]],"&lt;="&amp;J$6,tbAllTrades[[Short Sold]:[Short Sold]],"&lt;&gt;Y",tbAllTrades[[Short Sold]:[Short Sold]],"&lt;&gt;F")</f>
        <v>0</v>
      </c>
      <c r="K17" s="134">
        <f>COUNTIFS(tbAllTrades[[Entry Date]:[Entry Date]],"&gt;"&amp;EOMONTH(K$6,-1),tbAllTrades[[Entry Date]:[Entry Date]],"&lt;="&amp;K$6,tbAllTrades[[Short Sold]:[Short Sold]],"&lt;&gt;Y",tbAllTrades[[Short Sold]:[Short Sold]],"&lt;&gt;F")</f>
        <v>0</v>
      </c>
      <c r="L17" s="134">
        <f>COUNTIFS(tbAllTrades[[Entry Date]:[Entry Date]],"&gt;"&amp;EOMONTH(L$6,-1),tbAllTrades[[Entry Date]:[Entry Date]],"&lt;="&amp;L$6,tbAllTrades[[Short Sold]:[Short Sold]],"&lt;&gt;Y",tbAllTrades[[Short Sold]:[Short Sold]],"&lt;&gt;F")</f>
        <v>0</v>
      </c>
      <c r="M17" s="134">
        <f>COUNTIFS(tbAllTrades[[Entry Date]:[Entry Date]],"&gt;"&amp;EOMONTH(M$6,-1),tbAllTrades[[Entry Date]:[Entry Date]],"&lt;="&amp;M$6,tbAllTrades[[Short Sold]:[Short Sold]],"&lt;&gt;Y",tbAllTrades[[Short Sold]:[Short Sold]],"&lt;&gt;F")</f>
        <v>0</v>
      </c>
      <c r="N17" s="134">
        <f>COUNTIFS(tbAllTrades[[Entry Date]:[Entry Date]],"&gt;"&amp;EOMONTH(N$6,-1),tbAllTrades[[Entry Date]:[Entry Date]],"&lt;="&amp;N$6,tbAllTrades[[Short Sold]:[Short Sold]],"&lt;&gt;Y",tbAllTrades[[Short Sold]:[Short Sold]],"&lt;&gt;F")</f>
        <v>0</v>
      </c>
      <c r="O17" s="134">
        <f>COUNTIFS(tbAllTrades[[Entry Date]:[Entry Date]],"&gt;"&amp;EOMONTH(O$6,-1),tbAllTrades[[Entry Date]:[Entry Date]],"&lt;="&amp;O$6,tbAllTrades[[Short Sold]:[Short Sold]],"&lt;&gt;Y",tbAllTrades[[Short Sold]:[Short Sold]],"&lt;&gt;F")</f>
        <v>0</v>
      </c>
      <c r="P17" s="130"/>
      <c r="Q17" s="134">
        <f>COUNTIFS(tbAllTrades[[Entry Date]:[Entry Date]],"&gt;"&amp;EOMONTH(Q$6,-12),tbAllTrades[[Entry Date]:[Entry Date]],"&lt;="&amp;Q$6,tbAllTrades[[Short Sold]:[Short Sold]],"&lt;&gt;Y",tbAllTrades[[Short Sold]:[Short Sold]],"&lt;&gt;F")</f>
        <v>1</v>
      </c>
      <c r="R17" s="134">
        <f>COUNTIFS(tbAllTrades[[Entry Date]:[Entry Date]],"&gt;"&amp;EOMONTH(R$6,-12),tbAllTrades[[Entry Date]:[Entry Date]],"&lt;="&amp;R$6,tbAllTrades[[Short Sold]:[Short Sold]],"&lt;&gt;Y",tbAllTrades[[Short Sold]:[Short Sold]],"&lt;&gt;F")</f>
        <v>1</v>
      </c>
    </row>
    <row r="18" spans="2:18" hidden="1">
      <c r="B18" s="149" t="s">
        <v>19</v>
      </c>
      <c r="C18" s="56"/>
      <c r="D18" s="134">
        <f>COUNTIFS(tbAllTrades[[Entry Date]:[Entry Date]],"&gt;"&amp;EOMONTH(D$6,-1),tbAllTrades[[Entry Date]:[Entry Date]],"&lt;="&amp;D$6,tbAllTrades[[Short Sold]:[Short Sold]],"=Y")</f>
        <v>0</v>
      </c>
      <c r="E18" s="134">
        <f>COUNTIFS(tbAllTrades[[Entry Date]:[Entry Date]],"&gt;"&amp;EOMONTH(E$6,-1),tbAllTrades[[Entry Date]:[Entry Date]],"&lt;="&amp;E$6,tbAllTrades[[Short Sold]:[Short Sold]],"=Y")</f>
        <v>0</v>
      </c>
      <c r="F18" s="134">
        <f>COUNTIFS(tbAllTrades[[Entry Date]:[Entry Date]],"&gt;"&amp;EOMONTH(F$6,-1),tbAllTrades[[Entry Date]:[Entry Date]],"&lt;="&amp;F$6,tbAllTrades[[Short Sold]:[Short Sold]],"=Y")</f>
        <v>0</v>
      </c>
      <c r="G18" s="134">
        <f>COUNTIFS(tbAllTrades[[Entry Date]:[Entry Date]],"&gt;"&amp;EOMONTH(G$6,-1),tbAllTrades[[Entry Date]:[Entry Date]],"&lt;="&amp;G$6,tbAllTrades[[Short Sold]:[Short Sold]],"=Y")</f>
        <v>0</v>
      </c>
      <c r="H18" s="134">
        <f>COUNTIFS(tbAllTrades[[Entry Date]:[Entry Date]],"&gt;"&amp;EOMONTH(H$6,-1),tbAllTrades[[Entry Date]:[Entry Date]],"&lt;="&amp;H$6,tbAllTrades[[Short Sold]:[Short Sold]],"=Y")</f>
        <v>0</v>
      </c>
      <c r="I18" s="134">
        <f>COUNTIFS(tbAllTrades[[Entry Date]:[Entry Date]],"&gt;"&amp;EOMONTH(I$6,-1),tbAllTrades[[Entry Date]:[Entry Date]],"&lt;="&amp;I$6,tbAllTrades[[Short Sold]:[Short Sold]],"=Y")</f>
        <v>0</v>
      </c>
      <c r="J18" s="134">
        <f>COUNTIFS(tbAllTrades[[Entry Date]:[Entry Date]],"&gt;"&amp;EOMONTH(J$6,-1),tbAllTrades[[Entry Date]:[Entry Date]],"&lt;="&amp;J$6,tbAllTrades[[Short Sold]:[Short Sold]],"=Y")</f>
        <v>0</v>
      </c>
      <c r="K18" s="134">
        <f>COUNTIFS(tbAllTrades[[Entry Date]:[Entry Date]],"&gt;"&amp;EOMONTH(K$6,-1),tbAllTrades[[Entry Date]:[Entry Date]],"&lt;="&amp;K$6,tbAllTrades[[Short Sold]:[Short Sold]],"=Y")</f>
        <v>0</v>
      </c>
      <c r="L18" s="134">
        <f>COUNTIFS(tbAllTrades[[Entry Date]:[Entry Date]],"&gt;"&amp;EOMONTH(L$6,-1),tbAllTrades[[Entry Date]:[Entry Date]],"&lt;="&amp;L$6,tbAllTrades[[Short Sold]:[Short Sold]],"=Y")</f>
        <v>0</v>
      </c>
      <c r="M18" s="134">
        <f>COUNTIFS(tbAllTrades[[Entry Date]:[Entry Date]],"&gt;"&amp;EOMONTH(M$6,-1),tbAllTrades[[Entry Date]:[Entry Date]],"&lt;="&amp;M$6,tbAllTrades[[Short Sold]:[Short Sold]],"=Y")</f>
        <v>0</v>
      </c>
      <c r="N18" s="134">
        <f>COUNTIFS(tbAllTrades[[Entry Date]:[Entry Date]],"&gt;"&amp;EOMONTH(N$6,-1),tbAllTrades[[Entry Date]:[Entry Date]],"&lt;="&amp;N$6,tbAllTrades[[Short Sold]:[Short Sold]],"=Y")</f>
        <v>0</v>
      </c>
      <c r="O18" s="134">
        <f>COUNTIFS(tbAllTrades[[Entry Date]:[Entry Date]],"&gt;"&amp;EOMONTH(O$6,-1),tbAllTrades[[Entry Date]:[Entry Date]],"&lt;="&amp;O$6,tbAllTrades[[Short Sold]:[Short Sold]],"=Y")</f>
        <v>0</v>
      </c>
      <c r="P18" s="130"/>
      <c r="Q18" s="134">
        <f>COUNTIFS(tbAllTrades[[Entry Date]:[Entry Date]],"&gt;"&amp;EOMONTH(Q$6,-12),tbAllTrades[[Entry Date]:[Entry Date]],"&lt;="&amp;Q$6,tbAllTrades[[Short Sold]:[Short Sold]],"=Y")</f>
        <v>0</v>
      </c>
      <c r="R18" s="134">
        <f>COUNTIFS(tbAllTrades[[Entry Date]:[Entry Date]],"&gt;"&amp;EOMONTH(R$6,-12),tbAllTrades[[Entry Date]:[Entry Date]],"&lt;="&amp;R$6,tbAllTrades[[Short Sold]:[Short Sold]],"=Y")</f>
        <v>0</v>
      </c>
    </row>
    <row r="19" spans="2:18">
      <c r="B19" s="62" t="s">
        <v>12</v>
      </c>
      <c r="C19" s="56"/>
      <c r="D19" s="135"/>
      <c r="E19" s="135"/>
      <c r="F19" s="135"/>
      <c r="G19" s="135"/>
      <c r="H19" s="135"/>
      <c r="I19" s="135"/>
      <c r="J19" s="135"/>
      <c r="K19" s="133"/>
      <c r="L19" s="135"/>
      <c r="M19" s="135"/>
      <c r="N19" s="135"/>
      <c r="O19" s="135"/>
      <c r="P19" s="130"/>
      <c r="Q19" s="134"/>
      <c r="R19" s="134"/>
    </row>
    <row r="20" spans="2:18">
      <c r="B20" s="149" t="s">
        <v>23</v>
      </c>
      <c r="C20" s="56"/>
      <c r="D20" s="135">
        <f>COUNTIFS(tbAllTrades[[Entry Date]:[Entry Date]],"&lt;="&amp;D$6,tbAllTrades[[Exit Date]:[Exit Date]],"&gt;"&amp;D$6,tbAllTrades[[Short Sold]:[Short Sold]],"&lt;&gt;Y",tbAllTrades[[Short Sold]:[Short Sold]],"&lt;&gt;F")+COUNTIFS(tbAllTrades[[Entry Date]:[Entry Date]],"&lt;="&amp;D$6,tbAllTrades[[Exit Date]:[Exit Date]],"=",tbAllTrades[[Short Sold]:[Short Sold]],"&lt;&gt;Y",tbAllTrades[[Short Sold]:[Short Sold]],"&lt;&gt;F")</f>
        <v>0</v>
      </c>
      <c r="E20" s="135">
        <f>COUNTIFS(tbAllTrades[[Entry Date]:[Entry Date]],"&lt;="&amp;E$6,tbAllTrades[[Exit Date]:[Exit Date]],"&gt;"&amp;E$6,tbAllTrades[[Short Sold]:[Short Sold]],"&lt;&gt;Y",tbAllTrades[[Short Sold]:[Short Sold]],"&lt;&gt;F")+COUNTIFS(tbAllTrades[[Entry Date]:[Entry Date]],"&lt;="&amp;E$6,tbAllTrades[[Exit Date]:[Exit Date]],"=",tbAllTrades[[Short Sold]:[Short Sold]],"&lt;&gt;Y",tbAllTrades[[Short Sold]:[Short Sold]],"&lt;&gt;F")</f>
        <v>0</v>
      </c>
      <c r="F20" s="135">
        <f>COUNTIFS(tbAllTrades[[Entry Date]:[Entry Date]],"&lt;="&amp;F$6,tbAllTrades[[Exit Date]:[Exit Date]],"&gt;"&amp;F$6,tbAllTrades[[Short Sold]:[Short Sold]],"&lt;&gt;Y",tbAllTrades[[Short Sold]:[Short Sold]],"&lt;&gt;F")+COUNTIFS(tbAllTrades[[Entry Date]:[Entry Date]],"&lt;="&amp;F$6,tbAllTrades[[Exit Date]:[Exit Date]],"=",tbAllTrades[[Short Sold]:[Short Sold]],"&lt;&gt;Y",tbAllTrades[[Short Sold]:[Short Sold]],"&lt;&gt;F")</f>
        <v>0</v>
      </c>
      <c r="G20" s="135">
        <f>COUNTIFS(tbAllTrades[[Entry Date]:[Entry Date]],"&lt;="&amp;G$6,tbAllTrades[[Exit Date]:[Exit Date]],"&gt;"&amp;G$6,tbAllTrades[[Short Sold]:[Short Sold]],"&lt;&gt;Y",tbAllTrades[[Short Sold]:[Short Sold]],"&lt;&gt;F")+COUNTIFS(tbAllTrades[[Entry Date]:[Entry Date]],"&lt;="&amp;G$6,tbAllTrades[[Exit Date]:[Exit Date]],"=",tbAllTrades[[Short Sold]:[Short Sold]],"&lt;&gt;Y",tbAllTrades[[Short Sold]:[Short Sold]],"&lt;&gt;F")</f>
        <v>1</v>
      </c>
      <c r="H20" s="135">
        <f>COUNTIFS(tbAllTrades[[Entry Date]:[Entry Date]],"&lt;="&amp;H$6,tbAllTrades[[Exit Date]:[Exit Date]],"&gt;"&amp;H$6,tbAllTrades[[Short Sold]:[Short Sold]],"&lt;&gt;Y",tbAllTrades[[Short Sold]:[Short Sold]],"&lt;&gt;F")+COUNTIFS(tbAllTrades[[Entry Date]:[Entry Date]],"&lt;="&amp;H$6,tbAllTrades[[Exit Date]:[Exit Date]],"=",tbAllTrades[[Short Sold]:[Short Sold]],"&lt;&gt;Y",tbAllTrades[[Short Sold]:[Short Sold]],"&lt;&gt;F")</f>
        <v>1</v>
      </c>
      <c r="I20" s="135">
        <f>COUNTIFS(tbAllTrades[[Entry Date]:[Entry Date]],"&lt;="&amp;I$6,tbAllTrades[[Exit Date]:[Exit Date]],"&gt;"&amp;I$6,tbAllTrades[[Short Sold]:[Short Sold]],"&lt;&gt;Y",tbAllTrades[[Short Sold]:[Short Sold]],"&lt;&gt;F")+COUNTIFS(tbAllTrades[[Entry Date]:[Entry Date]],"&lt;="&amp;I$6,tbAllTrades[[Exit Date]:[Exit Date]],"=",tbAllTrades[[Short Sold]:[Short Sold]],"&lt;&gt;Y",tbAllTrades[[Short Sold]:[Short Sold]],"&lt;&gt;F")</f>
        <v>1</v>
      </c>
      <c r="J20" s="135">
        <f>COUNTIFS(tbAllTrades[[Entry Date]:[Entry Date]],"&lt;="&amp;J$6,tbAllTrades[[Exit Date]:[Exit Date]],"&gt;"&amp;J$6,tbAllTrades[[Short Sold]:[Short Sold]],"&lt;&gt;Y",tbAllTrades[[Short Sold]:[Short Sold]],"&lt;&gt;F")+COUNTIFS(tbAllTrades[[Entry Date]:[Entry Date]],"&lt;="&amp;J$6,tbAllTrades[[Exit Date]:[Exit Date]],"=",tbAllTrades[[Short Sold]:[Short Sold]],"&lt;&gt;Y",tbAllTrades[[Short Sold]:[Short Sold]],"&lt;&gt;F")</f>
        <v>1</v>
      </c>
      <c r="K20" s="135">
        <f>COUNTIFS(tbAllTrades[[Entry Date]:[Entry Date]],"&lt;="&amp;K$6,tbAllTrades[[Exit Date]:[Exit Date]],"&gt;"&amp;K$6,tbAllTrades[[Short Sold]:[Short Sold]],"&lt;&gt;Y",tbAllTrades[[Short Sold]:[Short Sold]],"&lt;&gt;F")+COUNTIFS(tbAllTrades[[Entry Date]:[Entry Date]],"&lt;="&amp;K$6,tbAllTrades[[Exit Date]:[Exit Date]],"=",tbAllTrades[[Short Sold]:[Short Sold]],"&lt;&gt;Y",tbAllTrades[[Short Sold]:[Short Sold]],"&lt;&gt;F")</f>
        <v>1</v>
      </c>
      <c r="L20" s="135">
        <f>COUNTIFS(tbAllTrades[[Entry Date]:[Entry Date]],"&lt;="&amp;L$6,tbAllTrades[[Exit Date]:[Exit Date]],"&gt;"&amp;L$6,tbAllTrades[[Short Sold]:[Short Sold]],"&lt;&gt;Y",tbAllTrades[[Short Sold]:[Short Sold]],"&lt;&gt;F")+COUNTIFS(tbAllTrades[[Entry Date]:[Entry Date]],"&lt;="&amp;L$6,tbAllTrades[[Exit Date]:[Exit Date]],"=",tbAllTrades[[Short Sold]:[Short Sold]],"&lt;&gt;Y",tbAllTrades[[Short Sold]:[Short Sold]],"&lt;&gt;F")</f>
        <v>1</v>
      </c>
      <c r="M20" s="135">
        <f>COUNTIFS(tbAllTrades[[Entry Date]:[Entry Date]],"&lt;="&amp;M$6,tbAllTrades[[Exit Date]:[Exit Date]],"&gt;"&amp;M$6,tbAllTrades[[Short Sold]:[Short Sold]],"&lt;&gt;Y",tbAllTrades[[Short Sold]:[Short Sold]],"&lt;&gt;F")+COUNTIFS(tbAllTrades[[Entry Date]:[Entry Date]],"&lt;="&amp;M$6,tbAllTrades[[Exit Date]:[Exit Date]],"=",tbAllTrades[[Short Sold]:[Short Sold]],"&lt;&gt;Y",tbAllTrades[[Short Sold]:[Short Sold]],"&lt;&gt;F")</f>
        <v>1</v>
      </c>
      <c r="N20" s="135">
        <f>COUNTIFS(tbAllTrades[[Entry Date]:[Entry Date]],"&lt;="&amp;N$6,tbAllTrades[[Exit Date]:[Exit Date]],"&gt;"&amp;N$6,tbAllTrades[[Short Sold]:[Short Sold]],"&lt;&gt;Y",tbAllTrades[[Short Sold]:[Short Sold]],"&lt;&gt;F")+COUNTIFS(tbAllTrades[[Entry Date]:[Entry Date]],"&lt;="&amp;N$6,tbAllTrades[[Exit Date]:[Exit Date]],"=",tbAllTrades[[Short Sold]:[Short Sold]],"&lt;&gt;Y",tbAllTrades[[Short Sold]:[Short Sold]],"&lt;&gt;F")</f>
        <v>1</v>
      </c>
      <c r="O20" s="135">
        <f>COUNTIFS(tbAllTrades[[Entry Date]:[Entry Date]],"&lt;="&amp;O$6,tbAllTrades[[Exit Date]:[Exit Date]],"&gt;"&amp;O$6,tbAllTrades[[Short Sold]:[Short Sold]],"&lt;&gt;Y",tbAllTrades[[Short Sold]:[Short Sold]],"&lt;&gt;F")+COUNTIFS(tbAllTrades[[Entry Date]:[Entry Date]],"&lt;="&amp;O$6,tbAllTrades[[Exit Date]:[Exit Date]],"=",tbAllTrades[[Short Sold]:[Short Sold]],"&lt;&gt;Y",tbAllTrades[[Short Sold]:[Short Sold]],"&lt;&gt;F")</f>
        <v>1</v>
      </c>
      <c r="P20" s="130"/>
      <c r="Q20" s="134"/>
      <c r="R20" s="134"/>
    </row>
    <row r="21" spans="2:18" hidden="1">
      <c r="B21" s="149" t="s">
        <v>19</v>
      </c>
      <c r="C21" s="56"/>
      <c r="D21" s="135">
        <f>COUNTIFS(tbAllTrades[[Entry Date]:[Entry Date]],"&lt;="&amp;D$6,tbAllTrades[[Exit Date]:[Exit Date]],"&gt;"&amp;D$6,tbAllTrades[[Short Sold]:[Short Sold]],"=Y")+COUNTIFS(tbAllTrades[[Entry Date]:[Entry Date]],"&lt;="&amp;D$6,tbAllTrades[[Exit Date]:[Exit Date]],"=",tbAllTrades[[Short Sold]:[Short Sold]],"=Y")</f>
        <v>0</v>
      </c>
      <c r="E21" s="135">
        <f>COUNTIFS(tbAllTrades[[Entry Date]:[Entry Date]],"&lt;="&amp;E$6,tbAllTrades[[Exit Date]:[Exit Date]],"&gt;"&amp;E$6,tbAllTrades[[Short Sold]:[Short Sold]],"=Y")+COUNTIFS(tbAllTrades[[Entry Date]:[Entry Date]],"&lt;="&amp;E$6,tbAllTrades[[Exit Date]:[Exit Date]],"=",tbAllTrades[[Short Sold]:[Short Sold]],"=Y")</f>
        <v>0</v>
      </c>
      <c r="F21" s="135">
        <f>COUNTIFS(tbAllTrades[[Entry Date]:[Entry Date]],"&lt;="&amp;F$6,tbAllTrades[[Exit Date]:[Exit Date]],"&gt;"&amp;F$6,tbAllTrades[[Short Sold]:[Short Sold]],"=Y")+COUNTIFS(tbAllTrades[[Entry Date]:[Entry Date]],"&lt;="&amp;F$6,tbAllTrades[[Exit Date]:[Exit Date]],"=",tbAllTrades[[Short Sold]:[Short Sold]],"=Y")</f>
        <v>0</v>
      </c>
      <c r="G21" s="135">
        <f>COUNTIFS(tbAllTrades[[Entry Date]:[Entry Date]],"&lt;="&amp;G$6,tbAllTrades[[Exit Date]:[Exit Date]],"&gt;"&amp;G$6,tbAllTrades[[Short Sold]:[Short Sold]],"=Y")+COUNTIFS(tbAllTrades[[Entry Date]:[Entry Date]],"&lt;="&amp;G$6,tbAllTrades[[Exit Date]:[Exit Date]],"=",tbAllTrades[[Short Sold]:[Short Sold]],"=Y")</f>
        <v>0</v>
      </c>
      <c r="H21" s="135">
        <f>COUNTIFS(tbAllTrades[[Entry Date]:[Entry Date]],"&lt;="&amp;H$6,tbAllTrades[[Exit Date]:[Exit Date]],"&gt;"&amp;H$6,tbAllTrades[[Short Sold]:[Short Sold]],"=Y")+COUNTIFS(tbAllTrades[[Entry Date]:[Entry Date]],"&lt;="&amp;H$6,tbAllTrades[[Exit Date]:[Exit Date]],"=",tbAllTrades[[Short Sold]:[Short Sold]],"=Y")</f>
        <v>0</v>
      </c>
      <c r="I21" s="135">
        <f>COUNTIFS(tbAllTrades[[Entry Date]:[Entry Date]],"&lt;="&amp;I$6,tbAllTrades[[Exit Date]:[Exit Date]],"&gt;"&amp;I$6,tbAllTrades[[Short Sold]:[Short Sold]],"=Y")+COUNTIFS(tbAllTrades[[Entry Date]:[Entry Date]],"&lt;="&amp;I$6,tbAllTrades[[Exit Date]:[Exit Date]],"=",tbAllTrades[[Short Sold]:[Short Sold]],"=Y")</f>
        <v>0</v>
      </c>
      <c r="J21" s="135">
        <f>COUNTIFS(tbAllTrades[[Entry Date]:[Entry Date]],"&lt;="&amp;J$6,tbAllTrades[[Exit Date]:[Exit Date]],"&gt;"&amp;J$6,tbAllTrades[[Short Sold]:[Short Sold]],"=Y")+COUNTIFS(tbAllTrades[[Entry Date]:[Entry Date]],"&lt;="&amp;J$6,tbAllTrades[[Exit Date]:[Exit Date]],"=",tbAllTrades[[Short Sold]:[Short Sold]],"=Y")</f>
        <v>0</v>
      </c>
      <c r="K21" s="135">
        <f>COUNTIFS(tbAllTrades[[Entry Date]:[Entry Date]],"&lt;="&amp;K$6,tbAllTrades[[Exit Date]:[Exit Date]],"&gt;"&amp;K$6,tbAllTrades[[Short Sold]:[Short Sold]],"=Y")+COUNTIFS(tbAllTrades[[Entry Date]:[Entry Date]],"&lt;="&amp;K$6,tbAllTrades[[Exit Date]:[Exit Date]],"=",tbAllTrades[[Short Sold]:[Short Sold]],"=Y")</f>
        <v>0</v>
      </c>
      <c r="L21" s="135">
        <f>COUNTIFS(tbAllTrades[[Entry Date]:[Entry Date]],"&lt;="&amp;L$6,tbAllTrades[[Exit Date]:[Exit Date]],"&gt;"&amp;L$6,tbAllTrades[[Short Sold]:[Short Sold]],"=Y")+COUNTIFS(tbAllTrades[[Entry Date]:[Entry Date]],"&lt;="&amp;L$6,tbAllTrades[[Exit Date]:[Exit Date]],"=",tbAllTrades[[Short Sold]:[Short Sold]],"=Y")</f>
        <v>0</v>
      </c>
      <c r="M21" s="135">
        <f>COUNTIFS(tbAllTrades[[Entry Date]:[Entry Date]],"&lt;="&amp;M$6,tbAllTrades[[Exit Date]:[Exit Date]],"&gt;"&amp;M$6,tbAllTrades[[Short Sold]:[Short Sold]],"=Y")+COUNTIFS(tbAllTrades[[Entry Date]:[Entry Date]],"&lt;="&amp;M$6,tbAllTrades[[Exit Date]:[Exit Date]],"=",tbAllTrades[[Short Sold]:[Short Sold]],"=Y")</f>
        <v>0</v>
      </c>
      <c r="N21" s="135">
        <f>COUNTIFS(tbAllTrades[[Entry Date]:[Entry Date]],"&lt;="&amp;N$6,tbAllTrades[[Exit Date]:[Exit Date]],"&gt;"&amp;N$6,tbAllTrades[[Short Sold]:[Short Sold]],"=Y")+COUNTIFS(tbAllTrades[[Entry Date]:[Entry Date]],"&lt;="&amp;N$6,tbAllTrades[[Exit Date]:[Exit Date]],"=",tbAllTrades[[Short Sold]:[Short Sold]],"=Y")</f>
        <v>0</v>
      </c>
      <c r="O21" s="135">
        <f>COUNTIFS(tbAllTrades[[Entry Date]:[Entry Date]],"&lt;="&amp;O$6,tbAllTrades[[Exit Date]:[Exit Date]],"&gt;"&amp;O$6,tbAllTrades[[Short Sold]:[Short Sold]],"=Y")+COUNTIFS(tbAllTrades[[Entry Date]:[Entry Date]],"&lt;="&amp;O$6,tbAllTrades[[Exit Date]:[Exit Date]],"=",tbAllTrades[[Short Sold]:[Short Sold]],"=Y")</f>
        <v>0</v>
      </c>
      <c r="P21" s="130"/>
      <c r="Q21" s="135"/>
      <c r="R21" s="135"/>
    </row>
    <row r="22" spans="2:18" ht="27" customHeight="1" thickBot="1">
      <c r="B22" s="204" t="s">
        <v>49</v>
      </c>
      <c r="C22" s="58"/>
      <c r="D22" s="137"/>
      <c r="E22" s="137"/>
      <c r="F22" s="137"/>
      <c r="G22" s="137"/>
      <c r="H22" s="137"/>
      <c r="I22" s="137"/>
      <c r="J22" s="137"/>
      <c r="K22" s="137"/>
      <c r="L22" s="138"/>
      <c r="M22" s="137"/>
      <c r="N22" s="137"/>
      <c r="O22" s="137"/>
      <c r="P22" s="130"/>
      <c r="Q22" s="137"/>
      <c r="R22" s="137"/>
    </row>
    <row r="23" spans="2:18" ht="16" thickTop="1">
      <c r="B23" s="60" t="s">
        <v>40</v>
      </c>
      <c r="C23" s="56"/>
      <c r="D23" s="134">
        <f>COUNTIFS(tbAllTrades[[Exit Date]:[Exit Date]],"&gt;"&amp;EOMONTH(D$6,-1),tbAllTrades[[Exit Date]:[Exit Date]],"&lt;="&amp;D$6,tbAllTrades[[Short Sold]:[Short Sold]],"&lt;&gt;Y",tbAllTrades[[Short Sold]:[Short Sold]],"&lt;&gt;F")</f>
        <v>0</v>
      </c>
      <c r="E23" s="134">
        <f>COUNTIFS(tbAllTrades[[Exit Date]:[Exit Date]],"&gt;"&amp;EOMONTH(E$6,-1),tbAllTrades[[Exit Date]:[Exit Date]],"&lt;="&amp;E$6,tbAllTrades[[Short Sold]:[Short Sold]],"&lt;&gt;Y",tbAllTrades[[Short Sold]:[Short Sold]],"&lt;&gt;F")</f>
        <v>0</v>
      </c>
      <c r="F23" s="134">
        <f>COUNTIFS(tbAllTrades[[Exit Date]:[Exit Date]],"&gt;"&amp;EOMONTH(F$6,-1),tbAllTrades[[Exit Date]:[Exit Date]],"&lt;="&amp;F$6,tbAllTrades[[Short Sold]:[Short Sold]],"&lt;&gt;Y",tbAllTrades[[Short Sold]:[Short Sold]],"&lt;&gt;F")</f>
        <v>0</v>
      </c>
      <c r="G23" s="134">
        <f>COUNTIFS(tbAllTrades[[Exit Date]:[Exit Date]],"&gt;"&amp;EOMONTH(G$6,-1),tbAllTrades[[Exit Date]:[Exit Date]],"&lt;="&amp;G$6,tbAllTrades[[Short Sold]:[Short Sold]],"&lt;&gt;Y",tbAllTrades[[Short Sold]:[Short Sold]],"&lt;&gt;F")</f>
        <v>0</v>
      </c>
      <c r="H23" s="134">
        <f>COUNTIFS(tbAllTrades[[Exit Date]:[Exit Date]],"&gt;"&amp;EOMONTH(H$6,-1),tbAllTrades[[Exit Date]:[Exit Date]],"&lt;="&amp;H$6,tbAllTrades[[Short Sold]:[Short Sold]],"&lt;&gt;Y",tbAllTrades[[Short Sold]:[Short Sold]],"&lt;&gt;F")</f>
        <v>0</v>
      </c>
      <c r="I23" s="134">
        <f>COUNTIFS(tbAllTrades[[Exit Date]:[Exit Date]],"&gt;"&amp;EOMONTH(I$6,-1),tbAllTrades[[Exit Date]:[Exit Date]],"&lt;="&amp;I$6,tbAllTrades[[Short Sold]:[Short Sold]],"&lt;&gt;Y",tbAllTrades[[Short Sold]:[Short Sold]],"&lt;&gt;F")</f>
        <v>0</v>
      </c>
      <c r="J23" s="134">
        <f>COUNTIFS(tbAllTrades[[Exit Date]:[Exit Date]],"&gt;"&amp;EOMONTH(J$6,-1),tbAllTrades[[Exit Date]:[Exit Date]],"&lt;="&amp;J$6,tbAllTrades[[Short Sold]:[Short Sold]],"&lt;&gt;Y",tbAllTrades[[Short Sold]:[Short Sold]],"&lt;&gt;F")</f>
        <v>0</v>
      </c>
      <c r="K23" s="134">
        <f>COUNTIFS(tbAllTrades[[Exit Date]:[Exit Date]],"&gt;"&amp;EOMONTH(K$6,-1),tbAllTrades[[Exit Date]:[Exit Date]],"&lt;="&amp;K$6,tbAllTrades[[Short Sold]:[Short Sold]],"&lt;&gt;Y",tbAllTrades[[Short Sold]:[Short Sold]],"&lt;&gt;F")</f>
        <v>0</v>
      </c>
      <c r="L23" s="134">
        <f>COUNTIFS(tbAllTrades[[Exit Date]:[Exit Date]],"&gt;"&amp;EOMONTH(L$6,-1),tbAllTrades[[Exit Date]:[Exit Date]],"&lt;="&amp;L$6,tbAllTrades[[Short Sold]:[Short Sold]],"&lt;&gt;Y",tbAllTrades[[Short Sold]:[Short Sold]],"&lt;&gt;F")</f>
        <v>0</v>
      </c>
      <c r="M23" s="134">
        <f>COUNTIFS(tbAllTrades[[Exit Date]:[Exit Date]],"&gt;"&amp;EOMONTH(M$6,-1),tbAllTrades[[Exit Date]:[Exit Date]],"&lt;="&amp;M$6,tbAllTrades[[Short Sold]:[Short Sold]],"&lt;&gt;Y",tbAllTrades[[Short Sold]:[Short Sold]],"&lt;&gt;F")</f>
        <v>0</v>
      </c>
      <c r="N23" s="134">
        <f>COUNTIFS(tbAllTrades[[Exit Date]:[Exit Date]],"&gt;"&amp;EOMONTH(N$6,-1),tbAllTrades[[Exit Date]:[Exit Date]],"&lt;="&amp;N$6,tbAllTrades[[Short Sold]:[Short Sold]],"&lt;&gt;Y",tbAllTrades[[Short Sold]:[Short Sold]],"&lt;&gt;F")</f>
        <v>0</v>
      </c>
      <c r="O23" s="134">
        <f>COUNTIFS(tbAllTrades[[Exit Date]:[Exit Date]],"&gt;"&amp;EOMONTH(O$6,-1),tbAllTrades[[Exit Date]:[Exit Date]],"&lt;="&amp;O$6,tbAllTrades[[Short Sold]:[Short Sold]],"&lt;&gt;Y",tbAllTrades[[Short Sold]:[Short Sold]],"&lt;&gt;F")</f>
        <v>0</v>
      </c>
      <c r="P23" s="130"/>
      <c r="Q23" s="134">
        <f>COUNTIFS(tbAllTrades[[Exit Date]:[Exit Date]],"&gt;"&amp;EOMONTH(Q$6,-12),tbAllTrades[[Exit Date]:[Exit Date]],"&lt;="&amp;Q$6,tbAllTrades[[Short Sold]:[Short Sold]],"&lt;&gt;Y",tbAllTrades[[Short Sold]:[Short Sold]],"&lt;&gt;F")</f>
        <v>0</v>
      </c>
      <c r="R23" s="134">
        <f>COUNTIFS(tbAllTrades[[Exit Date]:[Exit Date]],"&gt;"&amp;EOMONTH(R$6,-12),tbAllTrades[[Exit Date]:[Exit Date]],"&lt;="&amp;R$6,tbAllTrades[[Short Sold]:[Short Sold]],"&lt;&gt;Y",tbAllTrades[[Short Sold]:[Short Sold]],"&lt;&gt;F")</f>
        <v>0</v>
      </c>
    </row>
    <row r="24" spans="2:18">
      <c r="B24" s="62" t="s">
        <v>24</v>
      </c>
      <c r="C24" s="56"/>
      <c r="D24" s="139">
        <f>COUNTIFS(tbAllTrades[[Exit Date]:[Exit Date]],"&gt;"&amp;EOMONTH(D$6,-1),tbAllTrades[[Exit Date]:[Exit Date]],"&lt;="&amp;D$6,tbAllTrades[[ROI ($) + Dividend]:[ROI ($) + Dividend]],"&gt;0",tbAllTrades[[Short Sold]:[Short Sold]],"&lt;&gt;Y",tbAllTrades[[Short Sold]:[Short Sold]],"&lt;&gt;F")</f>
        <v>0</v>
      </c>
      <c r="E24" s="139">
        <f>COUNTIFS(tbAllTrades[[Exit Date]:[Exit Date]],"&gt;"&amp;EOMONTH(E$6,-1),tbAllTrades[[Exit Date]:[Exit Date]],"&lt;="&amp;E$6,tbAllTrades[[ROI ($) + Dividend]:[ROI ($) + Dividend]],"&gt;0",tbAllTrades[[Short Sold]:[Short Sold]],"&lt;&gt;Y",tbAllTrades[[Short Sold]:[Short Sold]],"&lt;&gt;F")</f>
        <v>0</v>
      </c>
      <c r="F24" s="139">
        <f>COUNTIFS(tbAllTrades[[Exit Date]:[Exit Date]],"&gt;"&amp;EOMONTH(F$6,-1),tbAllTrades[[Exit Date]:[Exit Date]],"&lt;="&amp;F$6,tbAllTrades[[ROI ($) + Dividend]:[ROI ($) + Dividend]],"&gt;0",tbAllTrades[[Short Sold]:[Short Sold]],"&lt;&gt;Y",tbAllTrades[[Short Sold]:[Short Sold]],"&lt;&gt;F")</f>
        <v>0</v>
      </c>
      <c r="G24" s="139">
        <f>COUNTIFS(tbAllTrades[[Exit Date]:[Exit Date]],"&gt;"&amp;EOMONTH(G$6,-1),tbAllTrades[[Exit Date]:[Exit Date]],"&lt;="&amp;G$6,tbAllTrades[[ROI ($) + Dividend]:[ROI ($) + Dividend]],"&gt;0",tbAllTrades[[Short Sold]:[Short Sold]],"&lt;&gt;Y",tbAllTrades[[Short Sold]:[Short Sold]],"&lt;&gt;F")</f>
        <v>0</v>
      </c>
      <c r="H24" s="139">
        <f>COUNTIFS(tbAllTrades[[Exit Date]:[Exit Date]],"&gt;"&amp;EOMONTH(H$6,-1),tbAllTrades[[Exit Date]:[Exit Date]],"&lt;="&amp;H$6,tbAllTrades[[ROI ($) + Dividend]:[ROI ($) + Dividend]],"&gt;0",tbAllTrades[[Short Sold]:[Short Sold]],"&lt;&gt;Y",tbAllTrades[[Short Sold]:[Short Sold]],"&lt;&gt;F")</f>
        <v>0</v>
      </c>
      <c r="I24" s="139">
        <f>COUNTIFS(tbAllTrades[[Exit Date]:[Exit Date]],"&gt;"&amp;EOMONTH(I$6,-1),tbAllTrades[[Exit Date]:[Exit Date]],"&lt;="&amp;I$6,tbAllTrades[[ROI ($) + Dividend]:[ROI ($) + Dividend]],"&gt;0",tbAllTrades[[Short Sold]:[Short Sold]],"&lt;&gt;Y",tbAllTrades[[Short Sold]:[Short Sold]],"&lt;&gt;F")</f>
        <v>0</v>
      </c>
      <c r="J24" s="139">
        <f>COUNTIFS(tbAllTrades[[Exit Date]:[Exit Date]],"&gt;"&amp;EOMONTH(J$6,-1),tbAllTrades[[Exit Date]:[Exit Date]],"&lt;="&amp;J$6,tbAllTrades[[ROI ($) + Dividend]:[ROI ($) + Dividend]],"&gt;0",tbAllTrades[[Short Sold]:[Short Sold]],"&lt;&gt;Y",tbAllTrades[[Short Sold]:[Short Sold]],"&lt;&gt;F")</f>
        <v>0</v>
      </c>
      <c r="K24" s="139">
        <f>COUNTIFS(tbAllTrades[[Exit Date]:[Exit Date]],"&gt;"&amp;EOMONTH(K$6,-1),tbAllTrades[[Exit Date]:[Exit Date]],"&lt;="&amp;K$6,tbAllTrades[[ROI ($) + Dividend]:[ROI ($) + Dividend]],"&gt;0",tbAllTrades[[Short Sold]:[Short Sold]],"&lt;&gt;Y",tbAllTrades[[Short Sold]:[Short Sold]],"&lt;&gt;F")</f>
        <v>0</v>
      </c>
      <c r="L24" s="139">
        <f>COUNTIFS(tbAllTrades[[Exit Date]:[Exit Date]],"&gt;"&amp;EOMONTH(L$6,-1),tbAllTrades[[Exit Date]:[Exit Date]],"&lt;="&amp;L$6,tbAllTrades[[ROI ($) + Dividend]:[ROI ($) + Dividend]],"&gt;0",tbAllTrades[[Short Sold]:[Short Sold]],"&lt;&gt;Y",tbAllTrades[[Short Sold]:[Short Sold]],"&lt;&gt;F")</f>
        <v>0</v>
      </c>
      <c r="M24" s="139">
        <f>COUNTIFS(tbAllTrades[[Exit Date]:[Exit Date]],"&gt;"&amp;EOMONTH(M$6,-1),tbAllTrades[[Exit Date]:[Exit Date]],"&lt;="&amp;M$6,tbAllTrades[[ROI ($) + Dividend]:[ROI ($) + Dividend]],"&gt;0",tbAllTrades[[Short Sold]:[Short Sold]],"&lt;&gt;Y",tbAllTrades[[Short Sold]:[Short Sold]],"&lt;&gt;F")</f>
        <v>0</v>
      </c>
      <c r="N24" s="139">
        <f>COUNTIFS(tbAllTrades[[Exit Date]:[Exit Date]],"&gt;"&amp;EOMONTH(N$6,-1),tbAllTrades[[Exit Date]:[Exit Date]],"&lt;="&amp;N$6,tbAllTrades[[ROI ($) + Dividend]:[ROI ($) + Dividend]],"&gt;0",tbAllTrades[[Short Sold]:[Short Sold]],"&lt;&gt;Y",tbAllTrades[[Short Sold]:[Short Sold]],"&lt;&gt;F")</f>
        <v>0</v>
      </c>
      <c r="O24" s="139">
        <f>COUNTIFS(tbAllTrades[[Exit Date]:[Exit Date]],"&gt;"&amp;EOMONTH(O$6,-1),tbAllTrades[[Exit Date]:[Exit Date]],"&lt;="&amp;O$6,tbAllTrades[[ROI ($) + Dividend]:[ROI ($) + Dividend]],"&gt;0",tbAllTrades[[Short Sold]:[Short Sold]],"&lt;&gt;Y",tbAllTrades[[Short Sold]:[Short Sold]],"&lt;&gt;F")</f>
        <v>0</v>
      </c>
      <c r="P24" s="140"/>
      <c r="Q24" s="139">
        <f>COUNTIFS(tbAllTrades[[Exit Date]:[Exit Date]],"&gt;"&amp;EOMONTH(Q$6,-12),tbAllTrades[[Exit Date]:[Exit Date]],"&lt;="&amp;Q$6,tbAllTrades[[ROI ($) + Dividend]:[ROI ($) + Dividend]],"&gt;0",tbAllTrades[[Short Sold]:[Short Sold]],"&lt;&gt;Y",tbAllTrades[[Short Sold]:[Short Sold]],"&lt;&gt;F")</f>
        <v>0</v>
      </c>
      <c r="R24" s="139">
        <f>COUNTIFS(tbAllTrades[[Exit Date]:[Exit Date]],"&gt;"&amp;EOMONTH(R$6,-12),tbAllTrades[[Exit Date]:[Exit Date]],"&lt;="&amp;R$6,tbAllTrades[[ROI ($) + Dividend]:[ROI ($) + Dividend]],"&gt;0",tbAllTrades[[Short Sold]:[Short Sold]],"&lt;&gt;Y",tbAllTrades[[Short Sold]:[Short Sold]],"&lt;&gt;F")</f>
        <v>0</v>
      </c>
    </row>
    <row r="25" spans="2:18">
      <c r="B25" s="62" t="s">
        <v>25</v>
      </c>
      <c r="C25" s="56"/>
      <c r="D25" s="139">
        <f>COUNTIFS(tbAllTrades[[Exit Date]:[Exit Date]],"&gt;"&amp;EOMONTH(D$6,-1),tbAllTrades[[Exit Date]:[Exit Date]],"&lt;="&amp;D$6,tbAllTrades[[ROI ($) + Dividend]:[ROI ($) + Dividend]],"&lt;0",tbAllTrades[[Short Sold]:[Short Sold]],"&lt;&gt;Y",tbAllTrades[[Short Sold]:[Short Sold]],"&lt;&gt;F")</f>
        <v>0</v>
      </c>
      <c r="E25" s="139">
        <f>COUNTIFS(tbAllTrades[[Exit Date]:[Exit Date]],"&gt;"&amp;EOMONTH(E$6,-1),tbAllTrades[[Exit Date]:[Exit Date]],"&lt;="&amp;E$6,tbAllTrades[[ROI ($) + Dividend]:[ROI ($) + Dividend]],"&lt;0",tbAllTrades[[Short Sold]:[Short Sold]],"&lt;&gt;Y",tbAllTrades[[Short Sold]:[Short Sold]],"&lt;&gt;F")</f>
        <v>0</v>
      </c>
      <c r="F25" s="139">
        <f>COUNTIFS(tbAllTrades[[Exit Date]:[Exit Date]],"&gt;"&amp;EOMONTH(F$6,-1),tbAllTrades[[Exit Date]:[Exit Date]],"&lt;="&amp;F$6,tbAllTrades[[ROI ($) + Dividend]:[ROI ($) + Dividend]],"&lt;0",tbAllTrades[[Short Sold]:[Short Sold]],"&lt;&gt;Y",tbAllTrades[[Short Sold]:[Short Sold]],"&lt;&gt;F")</f>
        <v>0</v>
      </c>
      <c r="G25" s="139">
        <f>COUNTIFS(tbAllTrades[[Exit Date]:[Exit Date]],"&gt;"&amp;EOMONTH(G$6,-1),tbAllTrades[[Exit Date]:[Exit Date]],"&lt;="&amp;G$6,tbAllTrades[[ROI ($) + Dividend]:[ROI ($) + Dividend]],"&lt;0",tbAllTrades[[Short Sold]:[Short Sold]],"&lt;&gt;Y",tbAllTrades[[Short Sold]:[Short Sold]],"&lt;&gt;F")</f>
        <v>0</v>
      </c>
      <c r="H25" s="139">
        <f>COUNTIFS(tbAllTrades[[Exit Date]:[Exit Date]],"&gt;"&amp;EOMONTH(H$6,-1),tbAllTrades[[Exit Date]:[Exit Date]],"&lt;="&amp;H$6,tbAllTrades[[ROI ($) + Dividend]:[ROI ($) + Dividend]],"&lt;0",tbAllTrades[[Short Sold]:[Short Sold]],"&lt;&gt;Y",tbAllTrades[[Short Sold]:[Short Sold]],"&lt;&gt;F")</f>
        <v>0</v>
      </c>
      <c r="I25" s="139">
        <f>COUNTIFS(tbAllTrades[[Exit Date]:[Exit Date]],"&gt;"&amp;EOMONTH(I$6,-1),tbAllTrades[[Exit Date]:[Exit Date]],"&lt;="&amp;I$6,tbAllTrades[[ROI ($) + Dividend]:[ROI ($) + Dividend]],"&lt;0",tbAllTrades[[Short Sold]:[Short Sold]],"&lt;&gt;Y",tbAllTrades[[Short Sold]:[Short Sold]],"&lt;&gt;F")</f>
        <v>0</v>
      </c>
      <c r="J25" s="139">
        <f>COUNTIFS(tbAllTrades[[Exit Date]:[Exit Date]],"&gt;"&amp;EOMONTH(J$6,-1),tbAllTrades[[Exit Date]:[Exit Date]],"&lt;="&amp;J$6,tbAllTrades[[ROI ($) + Dividend]:[ROI ($) + Dividend]],"&lt;0",tbAllTrades[[Short Sold]:[Short Sold]],"&lt;&gt;Y",tbAllTrades[[Short Sold]:[Short Sold]],"&lt;&gt;F")</f>
        <v>0</v>
      </c>
      <c r="K25" s="139">
        <f>COUNTIFS(tbAllTrades[[Exit Date]:[Exit Date]],"&gt;"&amp;EOMONTH(K$6,-1),tbAllTrades[[Exit Date]:[Exit Date]],"&lt;="&amp;K$6,tbAllTrades[[ROI ($) + Dividend]:[ROI ($) + Dividend]],"&lt;0",tbAllTrades[[Short Sold]:[Short Sold]],"&lt;&gt;Y",tbAllTrades[[Short Sold]:[Short Sold]],"&lt;&gt;F")</f>
        <v>0</v>
      </c>
      <c r="L25" s="139">
        <f>COUNTIFS(tbAllTrades[[Exit Date]:[Exit Date]],"&gt;"&amp;EOMONTH(L$6,-1),tbAllTrades[[Exit Date]:[Exit Date]],"&lt;="&amp;L$6,tbAllTrades[[ROI ($) + Dividend]:[ROI ($) + Dividend]],"&lt;0",tbAllTrades[[Short Sold]:[Short Sold]],"&lt;&gt;Y",tbAllTrades[[Short Sold]:[Short Sold]],"&lt;&gt;F")</f>
        <v>0</v>
      </c>
      <c r="M25" s="139">
        <f>COUNTIFS(tbAllTrades[[Exit Date]:[Exit Date]],"&gt;"&amp;EOMONTH(M$6,-1),tbAllTrades[[Exit Date]:[Exit Date]],"&lt;="&amp;M$6,tbAllTrades[[ROI ($) + Dividend]:[ROI ($) + Dividend]],"&lt;0",tbAllTrades[[Short Sold]:[Short Sold]],"&lt;&gt;Y",tbAllTrades[[Short Sold]:[Short Sold]],"&lt;&gt;F")</f>
        <v>0</v>
      </c>
      <c r="N25" s="139">
        <f>COUNTIFS(tbAllTrades[[Exit Date]:[Exit Date]],"&gt;"&amp;EOMONTH(N$6,-1),tbAllTrades[[Exit Date]:[Exit Date]],"&lt;="&amp;N$6,tbAllTrades[[ROI ($) + Dividend]:[ROI ($) + Dividend]],"&lt;0",tbAllTrades[[Short Sold]:[Short Sold]],"&lt;&gt;Y",tbAllTrades[[Short Sold]:[Short Sold]],"&lt;&gt;F")</f>
        <v>0</v>
      </c>
      <c r="O25" s="139">
        <f>COUNTIFS(tbAllTrades[[Exit Date]:[Exit Date]],"&gt;"&amp;EOMONTH(O$6,-1),tbAllTrades[[Exit Date]:[Exit Date]],"&lt;="&amp;O$6,tbAllTrades[[ROI ($) + Dividend]:[ROI ($) + Dividend]],"&lt;0",tbAllTrades[[Short Sold]:[Short Sold]],"&lt;&gt;Y",tbAllTrades[[Short Sold]:[Short Sold]],"&lt;&gt;F")</f>
        <v>0</v>
      </c>
      <c r="P25" s="130"/>
      <c r="Q25" s="139">
        <f>COUNTIFS(tbAllTrades[[Exit Date]:[Exit Date]],"&gt;"&amp;EOMONTH(Q$6,-12),tbAllTrades[[Exit Date]:[Exit Date]],"&lt;="&amp;Q$6,tbAllTrades[[ROI ($) + Dividend]:[ROI ($) + Dividend]],"&lt;0",tbAllTrades[[Short Sold]:[Short Sold]],"&lt;&gt;Y",tbAllTrades[[Short Sold]:[Short Sold]],"&lt;&gt;F")</f>
        <v>0</v>
      </c>
      <c r="R25" s="139">
        <f>COUNTIFS(tbAllTrades[[Exit Date]:[Exit Date]],"&gt;"&amp;EOMONTH(R$6,-12),tbAllTrades[[Exit Date]:[Exit Date]],"&lt;="&amp;R$6,tbAllTrades[[ROI ($) + Dividend]:[ROI ($) + Dividend]],"&lt;0",tbAllTrades[[Short Sold]:[Short Sold]],"&lt;&gt;Y",tbAllTrades[[Short Sold]:[Short Sold]],"&lt;&gt;F")</f>
        <v>0</v>
      </c>
    </row>
    <row r="26" spans="2:18">
      <c r="B26" s="62" t="s">
        <v>13</v>
      </c>
      <c r="C26" s="56"/>
      <c r="D26" s="136" t="str">
        <f t="shared" ref="D26:O26" si="0">IFERROR((D24/D23),"0")</f>
        <v>0</v>
      </c>
      <c r="E26" s="136" t="str">
        <f t="shared" si="0"/>
        <v>0</v>
      </c>
      <c r="F26" s="136" t="str">
        <f t="shared" si="0"/>
        <v>0</v>
      </c>
      <c r="G26" s="136" t="str">
        <f t="shared" si="0"/>
        <v>0</v>
      </c>
      <c r="H26" s="136" t="str">
        <f t="shared" si="0"/>
        <v>0</v>
      </c>
      <c r="I26" s="136" t="str">
        <f t="shared" si="0"/>
        <v>0</v>
      </c>
      <c r="J26" s="136" t="str">
        <f t="shared" si="0"/>
        <v>0</v>
      </c>
      <c r="K26" s="136" t="str">
        <f t="shared" si="0"/>
        <v>0</v>
      </c>
      <c r="L26" s="136" t="str">
        <f t="shared" si="0"/>
        <v>0</v>
      </c>
      <c r="M26" s="136" t="str">
        <f t="shared" si="0"/>
        <v>0</v>
      </c>
      <c r="N26" s="136" t="str">
        <f t="shared" si="0"/>
        <v>0</v>
      </c>
      <c r="O26" s="136" t="str">
        <f t="shared" si="0"/>
        <v>0</v>
      </c>
      <c r="P26" s="130"/>
      <c r="Q26" s="136" t="str">
        <f t="shared" ref="Q26:R26" si="1">IFERROR((Q24/Q23),"0")</f>
        <v>0</v>
      </c>
      <c r="R26" s="136" t="str">
        <f t="shared" si="1"/>
        <v>0</v>
      </c>
    </row>
    <row r="27" spans="2:18" ht="7.25" customHeight="1">
      <c r="B27" s="62"/>
      <c r="C27" s="56"/>
      <c r="D27" s="136"/>
      <c r="E27" s="136"/>
      <c r="F27" s="136"/>
      <c r="G27" s="136"/>
      <c r="H27" s="136"/>
      <c r="I27" s="136"/>
      <c r="J27" s="136"/>
      <c r="K27" s="136"/>
      <c r="L27" s="136"/>
      <c r="M27" s="136"/>
      <c r="N27" s="136"/>
      <c r="O27" s="136"/>
      <c r="P27" s="130"/>
      <c r="Q27" s="136"/>
      <c r="R27" s="136"/>
    </row>
    <row r="28" spans="2:18">
      <c r="B28" s="60" t="s">
        <v>30</v>
      </c>
      <c r="C28" s="56"/>
      <c r="D28" s="141"/>
      <c r="E28" s="141"/>
      <c r="F28" s="141"/>
      <c r="G28" s="141"/>
      <c r="H28" s="141"/>
      <c r="I28" s="141"/>
      <c r="J28" s="141"/>
      <c r="K28" s="141"/>
      <c r="L28" s="141"/>
      <c r="M28" s="141"/>
      <c r="N28" s="141"/>
      <c r="O28" s="141"/>
      <c r="P28" s="130"/>
      <c r="Q28" s="141"/>
      <c r="R28" s="141"/>
    </row>
    <row r="29" spans="2:18">
      <c r="B29" s="61" t="s">
        <v>24</v>
      </c>
      <c r="C29" s="56"/>
      <c r="D29" s="139">
        <f>COUNTIFS(tbAllTrades[[Exit Date]:[Exit Date]],"&gt;"&amp;EOMONTH(D$6,-1),tbAllTrades[[Exit Date]:[Exit Date]],"&lt;="&amp;D$6,tbAllTrades[[Comb ROI ($) + Div by Stock]:[Comb ROI ($) + Div by Stock]],"&gt;0",tbAllTrades[[Short Sold]:[Short Sold]],"&lt;&gt;Y",tbAllTrades[[Short Sold]:[Short Sold]],"&lt;&gt;F")</f>
        <v>0</v>
      </c>
      <c r="E29" s="139">
        <f>COUNTIFS(tbAllTrades[[Exit Date]:[Exit Date]],"&gt;"&amp;EOMONTH(E$6,-1),tbAllTrades[[Exit Date]:[Exit Date]],"&lt;="&amp;E$6,tbAllTrades[[Comb ROI ($) + Div by Stock]:[Comb ROI ($) + Div by Stock]],"&gt;0",tbAllTrades[[Short Sold]:[Short Sold]],"&lt;&gt;Y",tbAllTrades[[Short Sold]:[Short Sold]],"&lt;&gt;F")</f>
        <v>0</v>
      </c>
      <c r="F29" s="139">
        <f>COUNTIFS(tbAllTrades[[Exit Date]:[Exit Date]],"&gt;"&amp;EOMONTH(F$6,-1),tbAllTrades[[Exit Date]:[Exit Date]],"&lt;="&amp;F$6,tbAllTrades[[Comb ROI ($) + Div by Stock]:[Comb ROI ($) + Div by Stock]],"&gt;0",tbAllTrades[[Short Sold]:[Short Sold]],"&lt;&gt;Y",tbAllTrades[[Short Sold]:[Short Sold]],"&lt;&gt;F")</f>
        <v>0</v>
      </c>
      <c r="G29" s="139">
        <f>COUNTIFS(tbAllTrades[[Exit Date]:[Exit Date]],"&gt;"&amp;EOMONTH(G$6,-1),tbAllTrades[[Exit Date]:[Exit Date]],"&lt;="&amp;G$6,tbAllTrades[[Comb ROI ($) + Div by Stock]:[Comb ROI ($) + Div by Stock]],"&gt;0",tbAllTrades[[Short Sold]:[Short Sold]],"&lt;&gt;Y",tbAllTrades[[Short Sold]:[Short Sold]],"&lt;&gt;F")</f>
        <v>0</v>
      </c>
      <c r="H29" s="139">
        <f>COUNTIFS(tbAllTrades[[Exit Date]:[Exit Date]],"&gt;"&amp;EOMONTH(H$6,-1),tbAllTrades[[Exit Date]:[Exit Date]],"&lt;="&amp;H$6,tbAllTrades[[Comb ROI ($) + Div by Stock]:[Comb ROI ($) + Div by Stock]],"&gt;0",tbAllTrades[[Short Sold]:[Short Sold]],"&lt;&gt;Y",tbAllTrades[[Short Sold]:[Short Sold]],"&lt;&gt;F")</f>
        <v>0</v>
      </c>
      <c r="I29" s="139">
        <f>COUNTIFS(tbAllTrades[[Exit Date]:[Exit Date]],"&gt;"&amp;EOMONTH(I$6,-1),tbAllTrades[[Exit Date]:[Exit Date]],"&lt;="&amp;I$6,tbAllTrades[[Comb ROI ($) + Div by Stock]:[Comb ROI ($) + Div by Stock]],"&gt;0",tbAllTrades[[Short Sold]:[Short Sold]],"&lt;&gt;Y",tbAllTrades[[Short Sold]:[Short Sold]],"&lt;&gt;F")</f>
        <v>0</v>
      </c>
      <c r="J29" s="139">
        <f>COUNTIFS(tbAllTrades[[Exit Date]:[Exit Date]],"&gt;"&amp;EOMONTH(J$6,-1),tbAllTrades[[Exit Date]:[Exit Date]],"&lt;="&amp;J$6,tbAllTrades[[Comb ROI ($) + Div by Stock]:[Comb ROI ($) + Div by Stock]],"&gt;0",tbAllTrades[[Short Sold]:[Short Sold]],"&lt;&gt;Y",tbAllTrades[[Short Sold]:[Short Sold]],"&lt;&gt;F")</f>
        <v>0</v>
      </c>
      <c r="K29" s="139">
        <f>COUNTIFS(tbAllTrades[[Exit Date]:[Exit Date]],"&gt;"&amp;EOMONTH(K$6,-1),tbAllTrades[[Exit Date]:[Exit Date]],"&lt;="&amp;K$6,tbAllTrades[[Comb ROI ($) + Div by Stock]:[Comb ROI ($) + Div by Stock]],"&gt;0",tbAllTrades[[Short Sold]:[Short Sold]],"&lt;&gt;Y",tbAllTrades[[Short Sold]:[Short Sold]],"&lt;&gt;F")</f>
        <v>0</v>
      </c>
      <c r="L29" s="139">
        <f>COUNTIFS(tbAllTrades[[Exit Date]:[Exit Date]],"&gt;"&amp;EOMONTH(L$6,-1),tbAllTrades[[Exit Date]:[Exit Date]],"&lt;="&amp;L$6,tbAllTrades[[Comb ROI ($) + Div by Stock]:[Comb ROI ($) + Div by Stock]],"&gt;0",tbAllTrades[[Short Sold]:[Short Sold]],"&lt;&gt;Y",tbAllTrades[[Short Sold]:[Short Sold]],"&lt;&gt;F")</f>
        <v>0</v>
      </c>
      <c r="M29" s="139">
        <f>COUNTIFS(tbAllTrades[[Exit Date]:[Exit Date]],"&gt;"&amp;EOMONTH(M$6,-1),tbAllTrades[[Exit Date]:[Exit Date]],"&lt;="&amp;M$6,tbAllTrades[[Comb ROI ($) + Div by Stock]:[Comb ROI ($) + Div by Stock]],"&gt;0",tbAllTrades[[Short Sold]:[Short Sold]],"&lt;&gt;Y",tbAllTrades[[Short Sold]:[Short Sold]],"&lt;&gt;F")</f>
        <v>0</v>
      </c>
      <c r="N29" s="139">
        <f>COUNTIFS(tbAllTrades[[Exit Date]:[Exit Date]],"&gt;"&amp;EOMONTH(N$6,-1),tbAllTrades[[Exit Date]:[Exit Date]],"&lt;="&amp;N$6,tbAllTrades[[Comb ROI ($) + Div by Stock]:[Comb ROI ($) + Div by Stock]],"&gt;0",tbAllTrades[[Short Sold]:[Short Sold]],"&lt;&gt;Y",tbAllTrades[[Short Sold]:[Short Sold]],"&lt;&gt;F")</f>
        <v>0</v>
      </c>
      <c r="O29" s="139">
        <f>COUNTIFS(tbAllTrades[[Exit Date]:[Exit Date]],"&gt;"&amp;EOMONTH(O$6,-1),tbAllTrades[[Exit Date]:[Exit Date]],"&lt;="&amp;O$6,tbAllTrades[[Comb ROI ($) + Div by Stock]:[Comb ROI ($) + Div by Stock]],"&gt;0",tbAllTrades[[Short Sold]:[Short Sold]],"&lt;&gt;Y",tbAllTrades[[Short Sold]:[Short Sold]],"&lt;&gt;F")</f>
        <v>0</v>
      </c>
      <c r="P29" s="140"/>
      <c r="Q29" s="139">
        <f>COUNTIFS(tbAllTrades[[Exit Date]:[Exit Date]],"&gt;"&amp;EOMONTH(Q$6,-12),tbAllTrades[[Exit Date]:[Exit Date]],"&lt;="&amp;Q$6,tbAllTrades[[Comb ROI ($) + Div by Stock]:[Comb ROI ($) + Div by Stock]],"&gt;0",tbAllTrades[[Short Sold]:[Short Sold]],"&lt;&gt;Y",tbAllTrades[[Short Sold]:[Short Sold]],"&lt;&gt;F")</f>
        <v>0</v>
      </c>
      <c r="R29" s="139">
        <f>COUNTIFS(tbAllTrades[[Exit Date]:[Exit Date]],"&gt;"&amp;EOMONTH(R$6,-12),tbAllTrades[[Exit Date]:[Exit Date]],"&lt;="&amp;R$6,tbAllTrades[[Comb ROI ($) + Div by Stock]:[Comb ROI ($) + Div by Stock]],"&gt;0",tbAllTrades[[Short Sold]:[Short Sold]],"&lt;&gt;Y",tbAllTrades[[Short Sold]:[Short Sold]],"&lt;&gt;F")</f>
        <v>0</v>
      </c>
    </row>
    <row r="30" spans="2:18">
      <c r="B30" s="61" t="s">
        <v>25</v>
      </c>
      <c r="C30" s="56"/>
      <c r="D30" s="139">
        <f>COUNTIFS(tbAllTrades[[Exit Date]:[Exit Date]],"&gt;"&amp;EOMONTH(D$6,-1),tbAllTrades[[Exit Date]:[Exit Date]],"&lt;="&amp;D$6,tbAllTrades[[Comb ROI ($) + Div by Stock]:[Comb ROI ($) + Div by Stock]],"&lt;0",tbAllTrades[[Short Sold]:[Short Sold]],"&lt;&gt;Y",tbAllTrades[[Short Sold]:[Short Sold]],"&lt;&gt;F")</f>
        <v>0</v>
      </c>
      <c r="E30" s="139">
        <f>COUNTIFS(tbAllTrades[[Exit Date]:[Exit Date]],"&gt;"&amp;EOMONTH(E$6,-1),tbAllTrades[[Exit Date]:[Exit Date]],"&lt;="&amp;E$6,tbAllTrades[[Comb ROI ($) + Div by Stock]:[Comb ROI ($) + Div by Stock]],"&lt;0",tbAllTrades[[Short Sold]:[Short Sold]],"&lt;&gt;Y",tbAllTrades[[Short Sold]:[Short Sold]],"&lt;&gt;F")</f>
        <v>0</v>
      </c>
      <c r="F30" s="139">
        <f>COUNTIFS(tbAllTrades[[Exit Date]:[Exit Date]],"&gt;"&amp;EOMONTH(F$6,-1),tbAllTrades[[Exit Date]:[Exit Date]],"&lt;="&amp;F$6,tbAllTrades[[Comb ROI ($) + Div by Stock]:[Comb ROI ($) + Div by Stock]],"&lt;0",tbAllTrades[[Short Sold]:[Short Sold]],"&lt;&gt;Y",tbAllTrades[[Short Sold]:[Short Sold]],"&lt;&gt;F")</f>
        <v>0</v>
      </c>
      <c r="G30" s="139">
        <f>COUNTIFS(tbAllTrades[[Exit Date]:[Exit Date]],"&gt;"&amp;EOMONTH(G$6,-1),tbAllTrades[[Exit Date]:[Exit Date]],"&lt;="&amp;G$6,tbAllTrades[[Comb ROI ($) + Div by Stock]:[Comb ROI ($) + Div by Stock]],"&lt;0",tbAllTrades[[Short Sold]:[Short Sold]],"&lt;&gt;Y",tbAllTrades[[Short Sold]:[Short Sold]],"&lt;&gt;F")</f>
        <v>0</v>
      </c>
      <c r="H30" s="139">
        <f>COUNTIFS(tbAllTrades[[Exit Date]:[Exit Date]],"&gt;"&amp;EOMONTH(H$6,-1),tbAllTrades[[Exit Date]:[Exit Date]],"&lt;="&amp;H$6,tbAllTrades[[Comb ROI ($) + Div by Stock]:[Comb ROI ($) + Div by Stock]],"&lt;0",tbAllTrades[[Short Sold]:[Short Sold]],"&lt;&gt;Y",tbAllTrades[[Short Sold]:[Short Sold]],"&lt;&gt;F")</f>
        <v>0</v>
      </c>
      <c r="I30" s="139">
        <f>COUNTIFS(tbAllTrades[[Exit Date]:[Exit Date]],"&gt;"&amp;EOMONTH(I$6,-1),tbAllTrades[[Exit Date]:[Exit Date]],"&lt;="&amp;I$6,tbAllTrades[[Comb ROI ($) + Div by Stock]:[Comb ROI ($) + Div by Stock]],"&lt;0",tbAllTrades[[Short Sold]:[Short Sold]],"&lt;&gt;Y",tbAllTrades[[Short Sold]:[Short Sold]],"&lt;&gt;F")</f>
        <v>0</v>
      </c>
      <c r="J30" s="139">
        <f>COUNTIFS(tbAllTrades[[Exit Date]:[Exit Date]],"&gt;"&amp;EOMONTH(J$6,-1),tbAllTrades[[Exit Date]:[Exit Date]],"&lt;="&amp;J$6,tbAllTrades[[Comb ROI ($) + Div by Stock]:[Comb ROI ($) + Div by Stock]],"&lt;0",tbAllTrades[[Short Sold]:[Short Sold]],"&lt;&gt;Y",tbAllTrades[[Short Sold]:[Short Sold]],"&lt;&gt;F")</f>
        <v>0</v>
      </c>
      <c r="K30" s="139">
        <f>COUNTIFS(tbAllTrades[[Exit Date]:[Exit Date]],"&gt;"&amp;EOMONTH(K$6,-1),tbAllTrades[[Exit Date]:[Exit Date]],"&lt;="&amp;K$6,tbAllTrades[[Comb ROI ($) + Div by Stock]:[Comb ROI ($) + Div by Stock]],"&lt;0",tbAllTrades[[Short Sold]:[Short Sold]],"&lt;&gt;Y",tbAllTrades[[Short Sold]:[Short Sold]],"&lt;&gt;F")</f>
        <v>0</v>
      </c>
      <c r="L30" s="139">
        <f>COUNTIFS(tbAllTrades[[Exit Date]:[Exit Date]],"&gt;"&amp;EOMONTH(L$6,-1),tbAllTrades[[Exit Date]:[Exit Date]],"&lt;="&amp;L$6,tbAllTrades[[Comb ROI ($) + Div by Stock]:[Comb ROI ($) + Div by Stock]],"&lt;0",tbAllTrades[[Short Sold]:[Short Sold]],"&lt;&gt;Y",tbAllTrades[[Short Sold]:[Short Sold]],"&lt;&gt;F")</f>
        <v>0</v>
      </c>
      <c r="M30" s="139">
        <f>COUNTIFS(tbAllTrades[[Exit Date]:[Exit Date]],"&gt;"&amp;EOMONTH(M$6,-1),tbAllTrades[[Exit Date]:[Exit Date]],"&lt;="&amp;M$6,tbAllTrades[[Comb ROI ($) + Div by Stock]:[Comb ROI ($) + Div by Stock]],"&lt;0",tbAllTrades[[Short Sold]:[Short Sold]],"&lt;&gt;Y",tbAllTrades[[Short Sold]:[Short Sold]],"&lt;&gt;F")</f>
        <v>0</v>
      </c>
      <c r="N30" s="139">
        <f>COUNTIFS(tbAllTrades[[Exit Date]:[Exit Date]],"&gt;"&amp;EOMONTH(N$6,-1),tbAllTrades[[Exit Date]:[Exit Date]],"&lt;="&amp;N$6,tbAllTrades[[Comb ROI ($) + Div by Stock]:[Comb ROI ($) + Div by Stock]],"&lt;0",tbAllTrades[[Short Sold]:[Short Sold]],"&lt;&gt;Y",tbAllTrades[[Short Sold]:[Short Sold]],"&lt;&gt;F")</f>
        <v>0</v>
      </c>
      <c r="O30" s="139">
        <f>COUNTIFS(tbAllTrades[[Exit Date]:[Exit Date]],"&gt;"&amp;EOMONTH(O$6,-1),tbAllTrades[[Exit Date]:[Exit Date]],"&lt;="&amp;O$6,tbAllTrades[[Comb ROI ($) + Div by Stock]:[Comb ROI ($) + Div by Stock]],"&lt;0",tbAllTrades[[Short Sold]:[Short Sold]],"&lt;&gt;Y",tbAllTrades[[Short Sold]:[Short Sold]],"&lt;&gt;F")</f>
        <v>0</v>
      </c>
      <c r="P30" s="130"/>
      <c r="Q30" s="139">
        <f>COUNTIFS(tbAllTrades[[Exit Date]:[Exit Date]],"&gt;"&amp;EOMONTH(Q$6,-12),tbAllTrades[[Exit Date]:[Exit Date]],"&lt;="&amp;Q$6,tbAllTrades[[Comb ROI ($) + Div by Stock]:[Comb ROI ($) + Div by Stock]],"&lt;0",tbAllTrades[[Short Sold]:[Short Sold]],"&lt;&gt;Y",tbAllTrades[[Short Sold]:[Short Sold]],"&lt;&gt;F")</f>
        <v>0</v>
      </c>
      <c r="R30" s="139">
        <f>COUNTIFS(tbAllTrades[[Exit Date]:[Exit Date]],"&gt;"&amp;EOMONTH(R$6,-12),tbAllTrades[[Exit Date]:[Exit Date]],"&lt;="&amp;R$6,tbAllTrades[[Comb ROI ($) + Div by Stock]:[Comb ROI ($) + Div by Stock]],"&lt;0",tbAllTrades[[Short Sold]:[Short Sold]],"&lt;&gt;Y",tbAllTrades[[Short Sold]:[Short Sold]],"&lt;&gt;F")</f>
        <v>0</v>
      </c>
    </row>
    <row r="31" spans="2:18">
      <c r="B31" s="61" t="s">
        <v>13</v>
      </c>
      <c r="C31" s="56"/>
      <c r="D31" s="136" t="str">
        <f t="shared" ref="D31:O31" si="2">IFERROR((D29/D23),"0")</f>
        <v>0</v>
      </c>
      <c r="E31" s="136" t="str">
        <f t="shared" si="2"/>
        <v>0</v>
      </c>
      <c r="F31" s="136" t="str">
        <f t="shared" si="2"/>
        <v>0</v>
      </c>
      <c r="G31" s="136" t="str">
        <f t="shared" si="2"/>
        <v>0</v>
      </c>
      <c r="H31" s="136" t="str">
        <f t="shared" si="2"/>
        <v>0</v>
      </c>
      <c r="I31" s="136" t="str">
        <f t="shared" si="2"/>
        <v>0</v>
      </c>
      <c r="J31" s="136" t="str">
        <f t="shared" si="2"/>
        <v>0</v>
      </c>
      <c r="K31" s="136" t="str">
        <f t="shared" si="2"/>
        <v>0</v>
      </c>
      <c r="L31" s="136" t="str">
        <f t="shared" si="2"/>
        <v>0</v>
      </c>
      <c r="M31" s="136" t="str">
        <f t="shared" si="2"/>
        <v>0</v>
      </c>
      <c r="N31" s="136" t="str">
        <f t="shared" si="2"/>
        <v>0</v>
      </c>
      <c r="O31" s="136" t="str">
        <f t="shared" si="2"/>
        <v>0</v>
      </c>
      <c r="P31" s="136"/>
      <c r="Q31" s="136" t="str">
        <f t="shared" ref="Q31:R31" si="3">IFERROR((Q29/Q23),"0")</f>
        <v>0</v>
      </c>
      <c r="R31" s="136" t="str">
        <f t="shared" si="3"/>
        <v>0</v>
      </c>
    </row>
    <row r="32" spans="2:18" hidden="1">
      <c r="B32" s="61"/>
      <c r="C32" s="56"/>
      <c r="D32" s="136"/>
      <c r="E32" s="136"/>
      <c r="F32" s="136"/>
      <c r="G32" s="136"/>
      <c r="H32" s="136"/>
      <c r="I32" s="136"/>
      <c r="J32" s="136"/>
      <c r="K32" s="136"/>
      <c r="L32" s="136"/>
      <c r="M32" s="136"/>
      <c r="N32" s="136"/>
      <c r="O32" s="136"/>
      <c r="P32" s="136"/>
      <c r="Q32" s="136"/>
      <c r="R32" s="136"/>
    </row>
    <row r="33" spans="2:18" hidden="1">
      <c r="B33" s="60" t="s">
        <v>51</v>
      </c>
      <c r="C33" s="56"/>
      <c r="D33" s="134">
        <f>COUNTIFS(tbAllTrades[[Exit Date]:[Exit Date]],"&gt;"&amp;EOMONTH(D$6,-1),tbAllTrades[[Exit Date]:[Exit Date]],"&lt;="&amp;D$6,tbAllTrades[[Short Sold]:[Short Sold]],"=Y")</f>
        <v>0</v>
      </c>
      <c r="E33" s="134">
        <f>COUNTIFS(tbAllTrades[[Exit Date]:[Exit Date]],"&gt;"&amp;EOMONTH(E$6,-1),tbAllTrades[[Exit Date]:[Exit Date]],"&lt;="&amp;E$6,tbAllTrades[[Short Sold]:[Short Sold]],"=Y")</f>
        <v>0</v>
      </c>
      <c r="F33" s="134">
        <f>COUNTIFS(tbAllTrades[[Exit Date]:[Exit Date]],"&gt;"&amp;EOMONTH(F$6,-1),tbAllTrades[[Exit Date]:[Exit Date]],"&lt;="&amp;F$6,tbAllTrades[[Short Sold]:[Short Sold]],"=Y")</f>
        <v>0</v>
      </c>
      <c r="G33" s="134">
        <f>COUNTIFS(tbAllTrades[[Exit Date]:[Exit Date]],"&gt;"&amp;EOMONTH(G$6,-1),tbAllTrades[[Exit Date]:[Exit Date]],"&lt;="&amp;G$6,tbAllTrades[[Short Sold]:[Short Sold]],"=Y")</f>
        <v>0</v>
      </c>
      <c r="H33" s="134">
        <f>COUNTIFS(tbAllTrades[[Exit Date]:[Exit Date]],"&gt;"&amp;EOMONTH(H$6,-1),tbAllTrades[[Exit Date]:[Exit Date]],"&lt;="&amp;H$6,tbAllTrades[[Short Sold]:[Short Sold]],"=Y")</f>
        <v>0</v>
      </c>
      <c r="I33" s="134">
        <f>COUNTIFS(tbAllTrades[[Exit Date]:[Exit Date]],"&gt;"&amp;EOMONTH(I$6,-1),tbAllTrades[[Exit Date]:[Exit Date]],"&lt;="&amp;I$6,tbAllTrades[[Short Sold]:[Short Sold]],"=Y")</f>
        <v>0</v>
      </c>
      <c r="J33" s="134">
        <f>COUNTIFS(tbAllTrades[[Exit Date]:[Exit Date]],"&gt;"&amp;EOMONTH(J$6,-1),tbAllTrades[[Exit Date]:[Exit Date]],"&lt;="&amp;J$6,tbAllTrades[[Short Sold]:[Short Sold]],"=Y")</f>
        <v>0</v>
      </c>
      <c r="K33" s="134">
        <f>COUNTIFS(tbAllTrades[[Exit Date]:[Exit Date]],"&gt;"&amp;EOMONTH(K$6,-1),tbAllTrades[[Exit Date]:[Exit Date]],"&lt;="&amp;K$6,tbAllTrades[[Short Sold]:[Short Sold]],"=Y")</f>
        <v>0</v>
      </c>
      <c r="L33" s="134">
        <f>COUNTIFS(tbAllTrades[[Exit Date]:[Exit Date]],"&gt;"&amp;EOMONTH(L$6,-1),tbAllTrades[[Exit Date]:[Exit Date]],"&lt;="&amp;L$6,tbAllTrades[[Short Sold]:[Short Sold]],"=Y")</f>
        <v>0</v>
      </c>
      <c r="M33" s="134">
        <f>COUNTIFS(tbAllTrades[[Exit Date]:[Exit Date]],"&gt;"&amp;EOMONTH(M$6,-1),tbAllTrades[[Exit Date]:[Exit Date]],"&lt;="&amp;M$6,tbAllTrades[[Short Sold]:[Short Sold]],"=Y")</f>
        <v>0</v>
      </c>
      <c r="N33" s="134">
        <f>COUNTIFS(tbAllTrades[[Exit Date]:[Exit Date]],"&gt;"&amp;EOMONTH(N$6,-1),tbAllTrades[[Exit Date]:[Exit Date]],"&lt;="&amp;N$6,tbAllTrades[[Short Sold]:[Short Sold]],"=Y")</f>
        <v>0</v>
      </c>
      <c r="O33" s="134">
        <f>COUNTIFS(tbAllTrades[[Exit Date]:[Exit Date]],"&gt;"&amp;EOMONTH(O$6,-1),tbAllTrades[[Exit Date]:[Exit Date]],"&lt;="&amp;O$6,tbAllTrades[[Short Sold]:[Short Sold]],"=Y")</f>
        <v>0</v>
      </c>
      <c r="P33" s="130"/>
      <c r="Q33" s="134">
        <f>COUNTIFS(tbAllTrades[[Exit Date]:[Exit Date]],"&gt;"&amp;EOMONTH(Q$6,-12),tbAllTrades[[Exit Date]:[Exit Date]],"&lt;="&amp;Q$6,tbAllTrades[[Short Sold]:[Short Sold]],"=Y")</f>
        <v>0</v>
      </c>
      <c r="R33" s="134">
        <f>COUNTIFS(tbAllTrades[[Exit Date]:[Exit Date]],"&gt;"&amp;EOMONTH(R$6,-12),tbAllTrades[[Exit Date]:[Exit Date]],"&lt;="&amp;R$6,tbAllTrades[[Short Sold]:[Short Sold]],"=Y")</f>
        <v>0</v>
      </c>
    </row>
    <row r="34" spans="2:18" hidden="1">
      <c r="B34" s="62" t="s">
        <v>24</v>
      </c>
      <c r="C34" s="56"/>
      <c r="D34" s="139">
        <f>COUNTIFS(tbAllTrades[[Exit Date]:[Exit Date]],"&gt;"&amp;EOMONTH(D$6,-1),tbAllTrades[[Exit Date]:[Exit Date]],"&lt;="&amp;D$6,tbAllTrades[[ROI ($) + Dividend]:[ROI ($) + Dividend]],"&gt;0",tbAllTrades[[Short Sold]:[Short Sold]],"=Y")</f>
        <v>0</v>
      </c>
      <c r="E34" s="139">
        <f>COUNTIFS(tbAllTrades[[Exit Date]:[Exit Date]],"&gt;"&amp;EOMONTH(E$6,-1),tbAllTrades[[Exit Date]:[Exit Date]],"&lt;="&amp;E$6,tbAllTrades[[ROI ($) + Dividend]:[ROI ($) + Dividend]],"&gt;0",tbAllTrades[[Short Sold]:[Short Sold]],"=Y")</f>
        <v>0</v>
      </c>
      <c r="F34" s="139">
        <f>COUNTIFS(tbAllTrades[[Exit Date]:[Exit Date]],"&gt;"&amp;EOMONTH(F$6,-1),tbAllTrades[[Exit Date]:[Exit Date]],"&lt;="&amp;F$6,tbAllTrades[[ROI ($) + Dividend]:[ROI ($) + Dividend]],"&gt;0",tbAllTrades[[Short Sold]:[Short Sold]],"=Y")</f>
        <v>0</v>
      </c>
      <c r="G34" s="139">
        <f>COUNTIFS(tbAllTrades[[Exit Date]:[Exit Date]],"&gt;"&amp;EOMONTH(G$6,-1),tbAllTrades[[Exit Date]:[Exit Date]],"&lt;="&amp;G$6,tbAllTrades[[ROI ($) + Dividend]:[ROI ($) + Dividend]],"&gt;0",tbAllTrades[[Short Sold]:[Short Sold]],"=Y")</f>
        <v>0</v>
      </c>
      <c r="H34" s="139">
        <f>COUNTIFS(tbAllTrades[[Exit Date]:[Exit Date]],"&gt;"&amp;EOMONTH(H$6,-1),tbAllTrades[[Exit Date]:[Exit Date]],"&lt;="&amp;H$6,tbAllTrades[[ROI ($) + Dividend]:[ROI ($) + Dividend]],"&gt;0",tbAllTrades[[Short Sold]:[Short Sold]],"=Y")</f>
        <v>0</v>
      </c>
      <c r="I34" s="139">
        <f>COUNTIFS(tbAllTrades[[Exit Date]:[Exit Date]],"&gt;"&amp;EOMONTH(I$6,-1),tbAllTrades[[Exit Date]:[Exit Date]],"&lt;="&amp;I$6,tbAllTrades[[ROI ($) + Dividend]:[ROI ($) + Dividend]],"&gt;0",tbAllTrades[[Short Sold]:[Short Sold]],"=Y")</f>
        <v>0</v>
      </c>
      <c r="J34" s="139">
        <f>COUNTIFS(tbAllTrades[[Exit Date]:[Exit Date]],"&gt;"&amp;EOMONTH(J$6,-1),tbAllTrades[[Exit Date]:[Exit Date]],"&lt;="&amp;J$6,tbAllTrades[[ROI ($) + Dividend]:[ROI ($) + Dividend]],"&gt;0",tbAllTrades[[Short Sold]:[Short Sold]],"=Y")</f>
        <v>0</v>
      </c>
      <c r="K34" s="139">
        <f>COUNTIFS(tbAllTrades[[Exit Date]:[Exit Date]],"&gt;"&amp;EOMONTH(K$6,-1),tbAllTrades[[Exit Date]:[Exit Date]],"&lt;="&amp;K$6,tbAllTrades[[ROI ($) + Dividend]:[ROI ($) + Dividend]],"&gt;0",tbAllTrades[[Short Sold]:[Short Sold]],"=Y")</f>
        <v>0</v>
      </c>
      <c r="L34" s="139">
        <f>COUNTIFS(tbAllTrades[[Exit Date]:[Exit Date]],"&gt;"&amp;EOMONTH(L$6,-1),tbAllTrades[[Exit Date]:[Exit Date]],"&lt;="&amp;L$6,tbAllTrades[[ROI ($) + Dividend]:[ROI ($) + Dividend]],"&gt;0",tbAllTrades[[Short Sold]:[Short Sold]],"=Y")</f>
        <v>0</v>
      </c>
      <c r="M34" s="139">
        <f>COUNTIFS(tbAllTrades[[Exit Date]:[Exit Date]],"&gt;"&amp;EOMONTH(M$6,-1),tbAllTrades[[Exit Date]:[Exit Date]],"&lt;="&amp;M$6,tbAllTrades[[ROI ($) + Dividend]:[ROI ($) + Dividend]],"&gt;0",tbAllTrades[[Short Sold]:[Short Sold]],"=Y")</f>
        <v>0</v>
      </c>
      <c r="N34" s="139">
        <f>COUNTIFS(tbAllTrades[[Exit Date]:[Exit Date]],"&gt;"&amp;EOMONTH(N$6,-1),tbAllTrades[[Exit Date]:[Exit Date]],"&lt;="&amp;N$6,tbAllTrades[[ROI ($) + Dividend]:[ROI ($) + Dividend]],"&gt;0",tbAllTrades[[Short Sold]:[Short Sold]],"=Y")</f>
        <v>0</v>
      </c>
      <c r="O34" s="139">
        <f>COUNTIFS(tbAllTrades[[Exit Date]:[Exit Date]],"&gt;"&amp;EOMONTH(O$6,-1),tbAllTrades[[Exit Date]:[Exit Date]],"&lt;="&amp;O$6,tbAllTrades[[ROI ($) + Dividend]:[ROI ($) + Dividend]],"&gt;0",tbAllTrades[[Short Sold]:[Short Sold]],"=Y")</f>
        <v>0</v>
      </c>
      <c r="P34" s="130"/>
      <c r="Q34" s="139">
        <f>COUNTIFS(tbAllTrades[[Exit Date]:[Exit Date]],"&gt;"&amp;EOMONTH(Q$6,-12),tbAllTrades[[Exit Date]:[Exit Date]],"&lt;="&amp;Q$6,tbAllTrades[[ROI ($) + Dividend]:[ROI ($) + Dividend]],"&gt;0",tbAllTrades[[Short Sold]:[Short Sold]],"=Y")</f>
        <v>0</v>
      </c>
      <c r="R34" s="139">
        <f>COUNTIFS(tbAllTrades[[Exit Date]:[Exit Date]],"&gt;"&amp;EOMONTH(R$6,-12),tbAllTrades[[Exit Date]:[Exit Date]],"&lt;="&amp;R$6,tbAllTrades[[ROI ($) + Dividend]:[ROI ($) + Dividend]],"&gt;0",tbAllTrades[[Short Sold]:[Short Sold]],"=Y")</f>
        <v>0</v>
      </c>
    </row>
    <row r="35" spans="2:18" hidden="1">
      <c r="B35" s="62" t="s">
        <v>25</v>
      </c>
      <c r="C35" s="56"/>
      <c r="D35" s="139">
        <f>COUNTIFS(tbAllTrades[[Exit Date]:[Exit Date]],"&gt;"&amp;EOMONTH(D$6,-1),tbAllTrades[[Exit Date]:[Exit Date]],"&lt;="&amp;D$6,tbAllTrades[[ROI ($) + Dividend]:[ROI ($) + Dividend]],"&lt;0",tbAllTrades[[Short Sold]:[Short Sold]],"=Y")</f>
        <v>0</v>
      </c>
      <c r="E35" s="139">
        <f>COUNTIFS(tbAllTrades[[Exit Date]:[Exit Date]],"&gt;"&amp;EOMONTH(E$6,-1),tbAllTrades[[Exit Date]:[Exit Date]],"&lt;="&amp;E$6,tbAllTrades[[ROI ($) + Dividend]:[ROI ($) + Dividend]],"&lt;0",tbAllTrades[[Short Sold]:[Short Sold]],"=Y")</f>
        <v>0</v>
      </c>
      <c r="F35" s="139">
        <f>COUNTIFS(tbAllTrades[[Exit Date]:[Exit Date]],"&gt;"&amp;EOMONTH(F$6,-1),tbAllTrades[[Exit Date]:[Exit Date]],"&lt;="&amp;F$6,tbAllTrades[[ROI ($) + Dividend]:[ROI ($) + Dividend]],"&lt;0",tbAllTrades[[Short Sold]:[Short Sold]],"=Y")</f>
        <v>0</v>
      </c>
      <c r="G35" s="139">
        <f>COUNTIFS(tbAllTrades[[Exit Date]:[Exit Date]],"&gt;"&amp;EOMONTH(G$6,-1),tbAllTrades[[Exit Date]:[Exit Date]],"&lt;="&amp;G$6,tbAllTrades[[ROI ($) + Dividend]:[ROI ($) + Dividend]],"&lt;0",tbAllTrades[[Short Sold]:[Short Sold]],"=Y")</f>
        <v>0</v>
      </c>
      <c r="H35" s="139">
        <f>COUNTIFS(tbAllTrades[[Exit Date]:[Exit Date]],"&gt;"&amp;EOMONTH(H$6,-1),tbAllTrades[[Exit Date]:[Exit Date]],"&lt;="&amp;H$6,tbAllTrades[[ROI ($) + Dividend]:[ROI ($) + Dividend]],"&lt;0",tbAllTrades[[Short Sold]:[Short Sold]],"=Y")</f>
        <v>0</v>
      </c>
      <c r="I35" s="139">
        <f>COUNTIFS(tbAllTrades[[Exit Date]:[Exit Date]],"&gt;"&amp;EOMONTH(I$6,-1),tbAllTrades[[Exit Date]:[Exit Date]],"&lt;="&amp;I$6,tbAllTrades[[ROI ($) + Dividend]:[ROI ($) + Dividend]],"&lt;0",tbAllTrades[[Short Sold]:[Short Sold]],"=Y")</f>
        <v>0</v>
      </c>
      <c r="J35" s="139">
        <f>COUNTIFS(tbAllTrades[[Exit Date]:[Exit Date]],"&gt;"&amp;EOMONTH(J$6,-1),tbAllTrades[[Exit Date]:[Exit Date]],"&lt;="&amp;J$6,tbAllTrades[[ROI ($) + Dividend]:[ROI ($) + Dividend]],"&lt;0",tbAllTrades[[Short Sold]:[Short Sold]],"=Y")</f>
        <v>0</v>
      </c>
      <c r="K35" s="139">
        <f>COUNTIFS(tbAllTrades[[Exit Date]:[Exit Date]],"&gt;"&amp;EOMONTH(K$6,-1),tbAllTrades[[Exit Date]:[Exit Date]],"&lt;="&amp;K$6,tbAllTrades[[ROI ($) + Dividend]:[ROI ($) + Dividend]],"&lt;0",tbAllTrades[[Short Sold]:[Short Sold]],"=Y")</f>
        <v>0</v>
      </c>
      <c r="L35" s="139">
        <f>COUNTIFS(tbAllTrades[[Exit Date]:[Exit Date]],"&gt;"&amp;EOMONTH(L$6,-1),tbAllTrades[[Exit Date]:[Exit Date]],"&lt;="&amp;L$6,tbAllTrades[[ROI ($) + Dividend]:[ROI ($) + Dividend]],"&lt;0",tbAllTrades[[Short Sold]:[Short Sold]],"=Y")</f>
        <v>0</v>
      </c>
      <c r="M35" s="139">
        <f>COUNTIFS(tbAllTrades[[Exit Date]:[Exit Date]],"&gt;"&amp;EOMONTH(M$6,-1),tbAllTrades[[Exit Date]:[Exit Date]],"&lt;="&amp;M$6,tbAllTrades[[ROI ($) + Dividend]:[ROI ($) + Dividend]],"&lt;0",tbAllTrades[[Short Sold]:[Short Sold]],"=Y")</f>
        <v>0</v>
      </c>
      <c r="N35" s="139">
        <f>COUNTIFS(tbAllTrades[[Exit Date]:[Exit Date]],"&gt;"&amp;EOMONTH(N$6,-1),tbAllTrades[[Exit Date]:[Exit Date]],"&lt;="&amp;N$6,tbAllTrades[[ROI ($) + Dividend]:[ROI ($) + Dividend]],"&lt;0",tbAllTrades[[Short Sold]:[Short Sold]],"=Y")</f>
        <v>0</v>
      </c>
      <c r="O35" s="139">
        <f>COUNTIFS(tbAllTrades[[Exit Date]:[Exit Date]],"&gt;"&amp;EOMONTH(O$6,-1),tbAllTrades[[Exit Date]:[Exit Date]],"&lt;="&amp;O$6,tbAllTrades[[ROI ($) + Dividend]:[ROI ($) + Dividend]],"&lt;0",tbAllTrades[[Short Sold]:[Short Sold]],"=Y")</f>
        <v>0</v>
      </c>
      <c r="P35" s="130"/>
      <c r="Q35" s="139">
        <f>COUNTIFS(tbAllTrades[[Exit Date]:[Exit Date]],"&gt;"&amp;EOMONTH(Q$6,-12),tbAllTrades[[Exit Date]:[Exit Date]],"&lt;="&amp;Q$6,tbAllTrades[[ROI ($) + Dividend]:[ROI ($) + Dividend]],"&lt;0",tbAllTrades[[Short Sold]:[Short Sold]],"=Y")</f>
        <v>0</v>
      </c>
      <c r="R35" s="139">
        <f>COUNTIFS(tbAllTrades[[Exit Date]:[Exit Date]],"&gt;"&amp;EOMONTH(R$6,-12),tbAllTrades[[Exit Date]:[Exit Date]],"&lt;="&amp;R$6,tbAllTrades[[ROI ($) + Dividend]:[ROI ($) + Dividend]],"&lt;0",tbAllTrades[[Short Sold]:[Short Sold]],"=Y")</f>
        <v>0</v>
      </c>
    </row>
    <row r="36" spans="2:18" hidden="1">
      <c r="B36" s="62" t="s">
        <v>13</v>
      </c>
      <c r="C36" s="56"/>
      <c r="D36" s="136" t="str">
        <f t="shared" ref="D36:O36" si="4">IFERROR((D34/D33),"0")</f>
        <v>0</v>
      </c>
      <c r="E36" s="136" t="str">
        <f t="shared" si="4"/>
        <v>0</v>
      </c>
      <c r="F36" s="136" t="str">
        <f t="shared" si="4"/>
        <v>0</v>
      </c>
      <c r="G36" s="136" t="str">
        <f t="shared" si="4"/>
        <v>0</v>
      </c>
      <c r="H36" s="136" t="str">
        <f t="shared" si="4"/>
        <v>0</v>
      </c>
      <c r="I36" s="136" t="str">
        <f t="shared" si="4"/>
        <v>0</v>
      </c>
      <c r="J36" s="136" t="str">
        <f t="shared" si="4"/>
        <v>0</v>
      </c>
      <c r="K36" s="136" t="str">
        <f t="shared" si="4"/>
        <v>0</v>
      </c>
      <c r="L36" s="136" t="str">
        <f t="shared" si="4"/>
        <v>0</v>
      </c>
      <c r="M36" s="136" t="str">
        <f t="shared" si="4"/>
        <v>0</v>
      </c>
      <c r="N36" s="136" t="str">
        <f t="shared" si="4"/>
        <v>0</v>
      </c>
      <c r="O36" s="136" t="str">
        <f t="shared" si="4"/>
        <v>0</v>
      </c>
      <c r="P36" s="130"/>
      <c r="Q36" s="136" t="str">
        <f t="shared" ref="Q36:R36" si="5">IFERROR((Q34/Q33),"0")</f>
        <v>0</v>
      </c>
      <c r="R36" s="136" t="str">
        <f t="shared" si="5"/>
        <v>0</v>
      </c>
    </row>
    <row r="37" spans="2:18" ht="7.25" customHeight="1">
      <c r="B37" s="62"/>
      <c r="C37" s="56"/>
      <c r="D37" s="136"/>
      <c r="E37" s="136"/>
      <c r="F37" s="136"/>
      <c r="G37" s="136"/>
      <c r="H37" s="136"/>
      <c r="I37" s="136"/>
      <c r="J37" s="136"/>
      <c r="K37" s="136"/>
      <c r="L37" s="136"/>
      <c r="M37" s="136"/>
      <c r="N37" s="136"/>
      <c r="O37" s="136"/>
      <c r="P37" s="130"/>
      <c r="Q37" s="136"/>
      <c r="R37" s="136"/>
    </row>
    <row r="38" spans="2:18">
      <c r="B38" s="63" t="s">
        <v>26</v>
      </c>
      <c r="C38" s="56"/>
      <c r="D38" s="136"/>
      <c r="E38" s="136"/>
      <c r="F38" s="136"/>
      <c r="G38" s="136"/>
      <c r="H38" s="136"/>
      <c r="I38" s="136"/>
      <c r="J38" s="136"/>
      <c r="K38" s="136"/>
      <c r="L38" s="136"/>
      <c r="M38" s="136"/>
      <c r="N38" s="136"/>
      <c r="O38" s="136"/>
      <c r="P38" s="136"/>
      <c r="Q38" s="136"/>
      <c r="R38" s="136"/>
    </row>
    <row r="39" spans="2:18">
      <c r="B39" s="64" t="s">
        <v>16</v>
      </c>
      <c r="C39" s="59"/>
      <c r="D39" s="142" t="str">
        <f>IFERROR(D41/SUMIFS(tbAllTrades[[Investment In]:[Investment In]],tbAllTrades[[Exit Date]:[Exit Date]],"&gt;"&amp;EOMONTH(D$6,-1),tbAllTrades[[Exit Date]:[Exit Date]],"&lt;="&amp;D$6),"0")</f>
        <v>0</v>
      </c>
      <c r="E39" s="142" t="str">
        <f>IFERROR(E41/SUMIFS(tbAllTrades[[Investment In]:[Investment In]],tbAllTrades[[Exit Date]:[Exit Date]],"&gt;"&amp;EOMONTH(E$6,-1),tbAllTrades[[Exit Date]:[Exit Date]],"&lt;="&amp;E$6),"0")</f>
        <v>0</v>
      </c>
      <c r="F39" s="142" t="str">
        <f>IFERROR(F41/SUMIFS(tbAllTrades[[Investment In]:[Investment In]],tbAllTrades[[Exit Date]:[Exit Date]],"&gt;"&amp;EOMONTH(F$6,-1),tbAllTrades[[Exit Date]:[Exit Date]],"&lt;="&amp;F$6),"0")</f>
        <v>0</v>
      </c>
      <c r="G39" s="142" t="str">
        <f>IFERROR(G41/SUMIFS(tbAllTrades[[Investment In]:[Investment In]],tbAllTrades[[Exit Date]:[Exit Date]],"&gt;"&amp;EOMONTH(G$6,-1),tbAllTrades[[Exit Date]:[Exit Date]],"&lt;="&amp;G$6),"0")</f>
        <v>0</v>
      </c>
      <c r="H39" s="142" t="str">
        <f>IFERROR(H41/SUMIFS(tbAllTrades[[Investment In]:[Investment In]],tbAllTrades[[Exit Date]:[Exit Date]],"&gt;"&amp;EOMONTH(H$6,-1),tbAllTrades[[Exit Date]:[Exit Date]],"&lt;="&amp;H$6),"0")</f>
        <v>0</v>
      </c>
      <c r="I39" s="142" t="str">
        <f>IFERROR(I41/SUMIFS(tbAllTrades[[Investment In]:[Investment In]],tbAllTrades[[Exit Date]:[Exit Date]],"&gt;"&amp;EOMONTH(I$6,-1),tbAllTrades[[Exit Date]:[Exit Date]],"&lt;="&amp;I$6),"0")</f>
        <v>0</v>
      </c>
      <c r="J39" s="142" t="str">
        <f>IFERROR(J41/SUMIFS(tbAllTrades[[Investment In]:[Investment In]],tbAllTrades[[Exit Date]:[Exit Date]],"&gt;"&amp;EOMONTH(J$6,-1),tbAllTrades[[Exit Date]:[Exit Date]],"&lt;="&amp;J$6),"0")</f>
        <v>0</v>
      </c>
      <c r="K39" s="142" t="str">
        <f>IFERROR(K41/SUMIFS(tbAllTrades[[Investment In]:[Investment In]],tbAllTrades[[Exit Date]:[Exit Date]],"&gt;"&amp;EOMONTH(K$6,-1),tbAllTrades[[Exit Date]:[Exit Date]],"&lt;="&amp;K$6),"0")</f>
        <v>0</v>
      </c>
      <c r="L39" s="142" t="str">
        <f>IFERROR(L41/SUMIFS(tbAllTrades[[Investment In]:[Investment In]],tbAllTrades[[Exit Date]:[Exit Date]],"&gt;"&amp;EOMONTH(L$6,-1),tbAllTrades[[Exit Date]:[Exit Date]],"&lt;="&amp;L$6),"0")</f>
        <v>0</v>
      </c>
      <c r="M39" s="142" t="str">
        <f>IFERROR(M41/SUMIFS(tbAllTrades[[Investment In]:[Investment In]],tbAllTrades[[Exit Date]:[Exit Date]],"&gt;"&amp;EOMONTH(M$6,-1),tbAllTrades[[Exit Date]:[Exit Date]],"&lt;="&amp;M$6),"0")</f>
        <v>0</v>
      </c>
      <c r="N39" s="142" t="str">
        <f>IFERROR(N41/SUMIFS(tbAllTrades[[Investment In]:[Investment In]],tbAllTrades[[Exit Date]:[Exit Date]],"&gt;"&amp;EOMONTH(N$6,-1),tbAllTrades[[Exit Date]:[Exit Date]],"&lt;="&amp;N$6),"0")</f>
        <v>0</v>
      </c>
      <c r="O39" s="142" t="str">
        <f>IFERROR(O41/SUMIFS(tbAllTrades[[Investment In]:[Investment In]],tbAllTrades[[Exit Date]:[Exit Date]],"&gt;"&amp;EOMONTH(O$6,-1),tbAllTrades[[Exit Date]:[Exit Date]],"&lt;="&amp;O$6),"0")</f>
        <v>0</v>
      </c>
      <c r="P39" s="130"/>
      <c r="Q39" s="142" t="str">
        <f>IFERROR(Q41/SUMIFS(tbAllTrades[[Investment In]:[Investment In]],tbAllTrades[[Exit Date]:[Exit Date]],"&gt;"&amp;EOMONTH(Q$6,-12),tbAllTrades[[Exit Date]:[Exit Date]],"&lt;="&amp;Q$6),"0")</f>
        <v>0</v>
      </c>
      <c r="R39" s="142" t="str">
        <f>IFERROR(R41/SUMIFS(tbAllTrades[[Investment In]:[Investment In]],tbAllTrades[[Exit Date]:[Exit Date]],"&gt;"&amp;EOMONTH(R$6,-12),tbAllTrades[[Exit Date]:[Exit Date]],"&lt;="&amp;R$6),"0")</f>
        <v>0</v>
      </c>
    </row>
    <row r="40" spans="2:18">
      <c r="B40" s="62" t="s">
        <v>52</v>
      </c>
      <c r="C40" s="56"/>
      <c r="D40" s="143" t="str">
        <f>IFERROR(AVERAGEIFS(tbAllTrades[[Days]:[Days]],tbAllTrades[[Exit Date]:[Exit Date]],"&gt;"&amp;EOMONTH(D$6,-1),tbAllTrades[[Exit Date]:[Exit Date]],"&lt;="&amp;D$6),"0")</f>
        <v>0</v>
      </c>
      <c r="E40" s="143" t="str">
        <f>IFERROR(AVERAGEIFS(tbAllTrades[[Days]:[Days]],tbAllTrades[[Exit Date]:[Exit Date]],"&gt;"&amp;EOMONTH(E$6,-1),tbAllTrades[[Exit Date]:[Exit Date]],"&lt;="&amp;E$6),"0")</f>
        <v>0</v>
      </c>
      <c r="F40" s="143" t="str">
        <f>IFERROR(AVERAGEIFS(tbAllTrades[[Days]:[Days]],tbAllTrades[[Exit Date]:[Exit Date]],"&gt;"&amp;EOMONTH(F$6,-1),tbAllTrades[[Exit Date]:[Exit Date]],"&lt;="&amp;F$6),"0")</f>
        <v>0</v>
      </c>
      <c r="G40" s="143" t="str">
        <f>IFERROR(AVERAGEIFS(tbAllTrades[[Days]:[Days]],tbAllTrades[[Exit Date]:[Exit Date]],"&gt;"&amp;EOMONTH(G$6,-1),tbAllTrades[[Exit Date]:[Exit Date]],"&lt;="&amp;G$6),"0")</f>
        <v>0</v>
      </c>
      <c r="H40" s="143" t="str">
        <f>IFERROR(AVERAGEIFS(tbAllTrades[[Days]:[Days]],tbAllTrades[[Exit Date]:[Exit Date]],"&gt;"&amp;EOMONTH(H$6,-1),tbAllTrades[[Exit Date]:[Exit Date]],"&lt;="&amp;H$6),"0")</f>
        <v>0</v>
      </c>
      <c r="I40" s="143" t="str">
        <f>IFERROR(AVERAGEIFS(tbAllTrades[[Days]:[Days]],tbAllTrades[[Exit Date]:[Exit Date]],"&gt;"&amp;EOMONTH(I$6,-1),tbAllTrades[[Exit Date]:[Exit Date]],"&lt;="&amp;I$6),"0")</f>
        <v>0</v>
      </c>
      <c r="J40" s="143" t="str">
        <f>IFERROR(AVERAGEIFS(tbAllTrades[[Days]:[Days]],tbAllTrades[[Exit Date]:[Exit Date]],"&gt;"&amp;EOMONTH(J$6,-1),tbAllTrades[[Exit Date]:[Exit Date]],"&lt;="&amp;J$6),"0")</f>
        <v>0</v>
      </c>
      <c r="K40" s="143" t="str">
        <f>IFERROR(AVERAGEIFS(tbAllTrades[[Days]:[Days]],tbAllTrades[[Exit Date]:[Exit Date]],"&gt;"&amp;EOMONTH(K$6,-1),tbAllTrades[[Exit Date]:[Exit Date]],"&lt;="&amp;K$6),"0")</f>
        <v>0</v>
      </c>
      <c r="L40" s="143" t="str">
        <f>IFERROR(AVERAGEIFS(tbAllTrades[[Days]:[Days]],tbAllTrades[[Exit Date]:[Exit Date]],"&gt;"&amp;EOMONTH(L$6,-1),tbAllTrades[[Exit Date]:[Exit Date]],"&lt;="&amp;L$6),"0")</f>
        <v>0</v>
      </c>
      <c r="M40" s="143" t="str">
        <f>IFERROR(AVERAGEIFS(tbAllTrades[[Days]:[Days]],tbAllTrades[[Exit Date]:[Exit Date]],"&gt;"&amp;EOMONTH(M$6,-1),tbAllTrades[[Exit Date]:[Exit Date]],"&lt;="&amp;M$6),"0")</f>
        <v>0</v>
      </c>
      <c r="N40" s="143" t="str">
        <f>IFERROR(AVERAGEIFS(tbAllTrades[[Days]:[Days]],tbAllTrades[[Exit Date]:[Exit Date]],"&gt;"&amp;EOMONTH(N$6,-1),tbAllTrades[[Exit Date]:[Exit Date]],"&lt;="&amp;N$6),"0")</f>
        <v>0</v>
      </c>
      <c r="O40" s="143" t="str">
        <f>IFERROR(AVERAGEIFS(tbAllTrades[[Days]:[Days]],tbAllTrades[[Exit Date]:[Exit Date]],"&gt;"&amp;EOMONTH(O$6,-1),tbAllTrades[[Exit Date]:[Exit Date]],"&lt;="&amp;O$6),"0")</f>
        <v>0</v>
      </c>
      <c r="P40" s="130"/>
      <c r="Q40" s="143" t="str">
        <f>IFERROR(AVERAGEIFS(tbAllTrades[[Days]:[Days]],tbAllTrades[[Exit Date]:[Exit Date]],"&gt;"&amp;EOMONTH(Q$6,-12),tbAllTrades[[Exit Date]:[Exit Date]],"&lt;="&amp;Q$6),"0")</f>
        <v>0</v>
      </c>
      <c r="R40" s="143" t="str">
        <f>IFERROR(AVERAGEIFS(tbAllTrades[[Days]:[Days]],tbAllTrades[[Exit Date]:[Exit Date]],"&gt;"&amp;EOMONTH(R$6,-12),tbAllTrades[[Exit Date]:[Exit Date]],"&lt;="&amp;R$6),"0")</f>
        <v>0</v>
      </c>
    </row>
    <row r="41" spans="2:18">
      <c r="B41" s="62" t="s">
        <v>14</v>
      </c>
      <c r="C41" s="56"/>
      <c r="D41" s="278">
        <f>SUMIFS(tbAllTrades[[ROI ($) + Dividend]:[ROI ($) + Dividend]],tbAllTrades[[Exit Date]:[Exit Date]],"&gt;"&amp;EOMONTH(D$6,-1),tbAllTrades[[Exit Date]:[Exit Date]],"&lt;"&amp;D$6)</f>
        <v>0</v>
      </c>
      <c r="E41" s="278">
        <f>SUMIFS(tbAllTrades[[ROI ($) + Dividend]:[ROI ($) + Dividend]],tbAllTrades[[Exit Date]:[Exit Date]],"&gt;"&amp;EOMONTH(E$6,-1),tbAllTrades[[Exit Date]:[Exit Date]],"&lt;"&amp;E$6)</f>
        <v>0</v>
      </c>
      <c r="F41" s="278">
        <f>SUMIFS(tbAllTrades[[ROI ($) + Dividend]:[ROI ($) + Dividend]],tbAllTrades[[Exit Date]:[Exit Date]],"&gt;"&amp;EOMONTH(F$6,-1),tbAllTrades[[Exit Date]:[Exit Date]],"&lt;"&amp;F$6)</f>
        <v>0</v>
      </c>
      <c r="G41" s="278">
        <f>SUMIFS(tbAllTrades[[ROI ($) + Dividend]:[ROI ($) + Dividend]],tbAllTrades[[Exit Date]:[Exit Date]],"&gt;"&amp;EOMONTH(G$6,-1),tbAllTrades[[Exit Date]:[Exit Date]],"&lt;"&amp;G$6)</f>
        <v>0</v>
      </c>
      <c r="H41" s="278">
        <f>SUMIFS(tbAllTrades[[ROI ($) + Dividend]:[ROI ($) + Dividend]],tbAllTrades[[Exit Date]:[Exit Date]],"&gt;"&amp;EOMONTH(H$6,-1),tbAllTrades[[Exit Date]:[Exit Date]],"&lt;"&amp;H$6)</f>
        <v>0</v>
      </c>
      <c r="I41" s="278">
        <f>SUMIFS(tbAllTrades[[ROI ($) + Dividend]:[ROI ($) + Dividend]],tbAllTrades[[Exit Date]:[Exit Date]],"&gt;"&amp;EOMONTH(I$6,-1),tbAllTrades[[Exit Date]:[Exit Date]],"&lt;"&amp;I$6)</f>
        <v>0</v>
      </c>
      <c r="J41" s="278">
        <f>SUMIFS(tbAllTrades[[ROI ($) + Dividend]:[ROI ($) + Dividend]],tbAllTrades[[Exit Date]:[Exit Date]],"&gt;"&amp;EOMONTH(J$6,-1),tbAllTrades[[Exit Date]:[Exit Date]],"&lt;"&amp;J$6)</f>
        <v>0</v>
      </c>
      <c r="K41" s="278">
        <f>SUMIFS(tbAllTrades[[ROI ($) + Dividend]:[ROI ($) + Dividend]],tbAllTrades[[Exit Date]:[Exit Date]],"&gt;"&amp;EOMONTH(K$6,-1),tbAllTrades[[Exit Date]:[Exit Date]],"&lt;"&amp;K$6)</f>
        <v>0</v>
      </c>
      <c r="L41" s="278">
        <f>SUMIFS(tbAllTrades[[ROI ($) + Dividend]:[ROI ($) + Dividend]],tbAllTrades[[Exit Date]:[Exit Date]],"&gt;"&amp;EOMONTH(L$6,-1),tbAllTrades[[Exit Date]:[Exit Date]],"&lt;"&amp;L$6)</f>
        <v>0</v>
      </c>
      <c r="M41" s="278">
        <f>SUMIFS(tbAllTrades[[ROI ($) + Dividend]:[ROI ($) + Dividend]],tbAllTrades[[Exit Date]:[Exit Date]],"&gt;"&amp;EOMONTH(M$6,-1),tbAllTrades[[Exit Date]:[Exit Date]],"&lt;"&amp;M$6)</f>
        <v>0</v>
      </c>
      <c r="N41" s="278">
        <f>SUMIFS(tbAllTrades[[ROI ($) + Dividend]:[ROI ($) + Dividend]],tbAllTrades[[Exit Date]:[Exit Date]],"&gt;"&amp;EOMONTH(N$6,-1),tbAllTrades[[Exit Date]:[Exit Date]],"&lt;"&amp;N$6)</f>
        <v>0</v>
      </c>
      <c r="O41" s="278">
        <f>SUMIFS(tbAllTrades[[ROI ($) + Dividend]:[ROI ($) + Dividend]],tbAllTrades[[Exit Date]:[Exit Date]],"&gt;"&amp;EOMONTH(O$6,-1),tbAllTrades[[Exit Date]:[Exit Date]],"&lt;"&amp;O$6)</f>
        <v>0</v>
      </c>
      <c r="P41" s="176"/>
      <c r="Q41" s="144">
        <f>SUMIFS(tbAllTrades[[ROI ($) + Dividend]:[ROI ($) + Dividend]],tbAllTrades[[Exit Date]:[Exit Date]],"&gt;"&amp;EOMONTH(Q$6,-12),tbAllTrades[[Exit Date]:[Exit Date]],"&lt;"&amp;Q$6)</f>
        <v>0</v>
      </c>
      <c r="R41" s="144">
        <f>SUMIFS(tbAllTrades[[ROI ($) + Dividend]:[ROI ($) + Dividend]],tbAllTrades[[Exit Date]:[Exit Date]],"&gt;"&amp;EOMONTH(R$6,-12),tbAllTrades[[Exit Date]:[Exit Date]],"&lt;"&amp;R$6)</f>
        <v>0</v>
      </c>
    </row>
    <row r="42" spans="2:18">
      <c r="B42" s="62"/>
      <c r="C42" s="56"/>
      <c r="D42" s="17"/>
      <c r="E42" s="17"/>
      <c r="F42" s="17"/>
      <c r="G42" s="17"/>
      <c r="H42" s="17"/>
      <c r="I42" s="17"/>
      <c r="J42" s="17"/>
      <c r="K42" s="17"/>
      <c r="L42" s="17"/>
      <c r="M42" s="17"/>
      <c r="N42" s="17"/>
      <c r="O42" s="17"/>
      <c r="Q42" s="17"/>
      <c r="R42" s="17"/>
    </row>
    <row r="43" spans="2:18">
      <c r="B43" s="127" t="s">
        <v>35</v>
      </c>
    </row>
    <row r="46" spans="2:18">
      <c r="D46" s="168"/>
    </row>
  </sheetData>
  <sheetProtection algorithmName="SHA-512" hashValue="RM1VVGF7eLDX5AwjqUxGaj7PWSag+KU8ClcQ19aE0UXL7zvXBNnGTIzwygSJLgnMQwvHfKc51U8rLQoUXneP5A==" saltValue="23OrpdI0ogCbfsLOCDzQag==" spinCount="100000" sheet="1" objects="1" scenarios="1" formatColumns="0"/>
  <pageMargins left="0.25" right="0.25" top="0.75" bottom="0.75" header="0.3" footer="0.3"/>
  <pageSetup fitToHeight="0" orientation="landscape" r:id="rId1"/>
  <headerFooter>
    <oddFooter>&amp;R&amp;9&amp;"Calibri"Trading Diary&amp;L&amp;9&amp;"Calibri"Copyright © Effective Trading Solutions Pty Ltd, all rights reserved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autoFill="0" autoPict="0" macro="[0]!Results_Hide_Shorts" altText="Reorder">
                <anchor moveWithCells="1" sizeWithCells="1">
                  <from>
                    <xdr:col>20</xdr:col>
                    <xdr:colOff>25400</xdr:colOff>
                    <xdr:row>1</xdr:row>
                    <xdr:rowOff>101600</xdr:rowOff>
                  </from>
                  <to>
                    <xdr:col>21</xdr:col>
                    <xdr:colOff>101600</xdr:colOff>
                    <xdr:row>4</xdr:row>
                    <xdr:rowOff>101600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7B5E5-81EB-4C7F-80C4-CCB00C63B32A}">
  <sheetPr codeName="ShList"/>
  <dimension ref="A1:F5"/>
  <sheetViews>
    <sheetView workbookViewId="0">
      <selection activeCell="F1" sqref="F1"/>
    </sheetView>
  </sheetViews>
  <sheetFormatPr baseColWidth="10" defaultColWidth="8.83203125" defaultRowHeight="15"/>
  <sheetData>
    <row r="1" spans="1:6">
      <c r="A1" s="294" t="s">
        <v>123</v>
      </c>
      <c r="E1" s="292"/>
      <c r="F1" s="293"/>
    </row>
    <row r="2" spans="1:6">
      <c r="A2" s="130" t="s">
        <v>124</v>
      </c>
    </row>
    <row r="3" spans="1:6">
      <c r="A3" s="130"/>
    </row>
    <row r="4" spans="1:6">
      <c r="A4" s="130" t="str" cm="1">
        <f t="array" ref="A4:A5">IFERROR(_xlfn.VSTACK("All", _xlfn._xlws.SORT(_xlfn.UNIQUE(_xlfn._xlws.FILTER(tbAllTrades[Strategy],(tbAllTrades[Status]="Open")* (tbAllTrades[Strategy]&lt;&gt;0)*(tbAllTrades[Strategy]&lt;&gt;""))))),"All")</f>
        <v>All</v>
      </c>
    </row>
    <row r="5" spans="1:6">
      <c r="A5" t="str">
        <v>Trade</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12D070E-5B1C-42C5-A7E1-9B518230742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16</vt:i4>
      </vt:variant>
    </vt:vector>
  </HeadingPairs>
  <TitlesOfParts>
    <vt:vector size="22" baseType="lpstr">
      <vt:lpstr>Instructions</vt:lpstr>
      <vt:lpstr>All Trades</vt:lpstr>
      <vt:lpstr>Open Trades</vt:lpstr>
      <vt:lpstr>Closed Trades</vt:lpstr>
      <vt:lpstr>Compare</vt:lpstr>
      <vt:lpstr>Results</vt:lpstr>
      <vt:lpstr>BaseCurrency</vt:lpstr>
      <vt:lpstr>Complete_In</vt:lpstr>
      <vt:lpstr>Complete_Out</vt:lpstr>
      <vt:lpstr>Complete_ROI</vt:lpstr>
      <vt:lpstr>Complete_ROI_with_Dividend</vt:lpstr>
      <vt:lpstr>'Closed Trades'!Criteria</vt:lpstr>
      <vt:lpstr>'Open Trades'!Criteria</vt:lpstr>
      <vt:lpstr>Current_In</vt:lpstr>
      <vt:lpstr>Current_Out</vt:lpstr>
      <vt:lpstr>Current_ROI</vt:lpstr>
      <vt:lpstr>Current_ROI_with_Dividend</vt:lpstr>
      <vt:lpstr>Exchange_Rate</vt:lpstr>
      <vt:lpstr>'Closed Trades'!Extract</vt:lpstr>
      <vt:lpstr>'Open Trades'!Extract</vt:lpstr>
      <vt:lpstr>Portfolio_Balance</vt:lpstr>
      <vt:lpstr>TodaysDate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Terry Tran</dc:creator>
  <cp:lastModifiedBy>Drew Pfitzner</cp:lastModifiedBy>
  <cp:lastPrinted>2021-08-18T16:42:17Z</cp:lastPrinted>
  <dcterms:created xsi:type="dcterms:W3CDTF">2016-03-14T09:47:56Z</dcterms:created>
  <dcterms:modified xsi:type="dcterms:W3CDTF">2026-05-06T11:41:56Z</dcterms:modified>
</cp:coreProperties>
</file>