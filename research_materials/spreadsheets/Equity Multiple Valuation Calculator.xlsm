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drawings/drawing17.xml" ContentType="application/vnd.openxmlformats-officedocument.drawing+xml"/>
  <Override PartName="/xl/comments16.xml" ContentType="application/vnd.openxmlformats-officedocument.spreadsheetml.comments+xml"/>
  <Override PartName="/xl/drawings/drawing18.xml" ContentType="application/vnd.openxmlformats-officedocument.drawing+xml"/>
  <Override PartName="/xl/comments17.xml" ContentType="application/vnd.openxmlformats-officedocument.spreadsheetml.comments+xml"/>
  <Override PartName="/xl/drawings/drawing19.xml" ContentType="application/vnd.openxmlformats-officedocument.drawing+xml"/>
  <Override PartName="/xl/comments18.xml" ContentType="application/vnd.openxmlformats-officedocument.spreadsheetml.comments+xml"/>
  <Override PartName="/xl/drawings/drawing20.xml" ContentType="application/vnd.openxmlformats-officedocument.drawing+xml"/>
  <Override PartName="/xl/comments19.xml" ContentType="application/vnd.openxmlformats-officedocument.spreadsheetml.comments+xml"/>
  <Override PartName="/xl/drawings/drawing21.xml" ContentType="application/vnd.openxmlformats-officedocument.drawing+xml"/>
  <Override PartName="/xl/comments20.xml" ContentType="application/vnd.openxmlformats-officedocument.spreadsheetml.comments+xml"/>
  <Override PartName="/xl/drawings/drawing22.xml" ContentType="application/vnd.openxmlformats-officedocument.drawing+xml"/>
  <Override PartName="/xl/comments21.xml" ContentType="application/vnd.openxmlformats-officedocument.spreadsheetml.comments+xml"/>
  <Override PartName="/xl/drawings/drawing23.xml" ContentType="application/vnd.openxmlformats-officedocument.drawing+xml"/>
  <Override PartName="/xl/comments22.xml" ContentType="application/vnd.openxmlformats-officedocument.spreadsheetml.comments+xml"/>
  <Override PartName="/xl/drawings/drawing24.xml" ContentType="application/vnd.openxmlformats-officedocument.drawing+xml"/>
  <Override PartName="/xl/comments23.xml" ContentType="application/vnd.openxmlformats-officedocument.spreadsheetml.comments+xml"/>
  <Override PartName="/xl/drawings/drawing25.xml" ContentType="application/vnd.openxmlformats-officedocument.drawing+xml"/>
  <Override PartName="/xl/comments24.xml" ContentType="application/vnd.openxmlformats-officedocument.spreadsheetml.comments+xml"/>
  <Override PartName="/xl/drawings/drawing26.xml" ContentType="application/vnd.openxmlformats-officedocument.drawing+xml"/>
  <Override PartName="/xl/comments25.xml" ContentType="application/vnd.openxmlformats-officedocument.spreadsheetml.comments+xml"/>
  <Override PartName="/xl/drawings/drawing27.xml" ContentType="application/vnd.openxmlformats-officedocument.drawing+xml"/>
  <Override PartName="/xl/comments26.xml" ContentType="application/vnd.openxmlformats-officedocument.spreadsheetml.comments+xml"/>
  <Override PartName="/xl/drawings/drawing28.xml" ContentType="application/vnd.openxmlformats-officedocument.drawing+xml"/>
  <Override PartName="/xl/comments2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26" codeName="{643B0D74-A683-FBA9-23B4-8A0AA6E0B6B9}"/>
  <workbookPr codeName="ThisWorkbook"/>
  <mc:AlternateContent xmlns:mc="http://schemas.openxmlformats.org/markup-compatibility/2006">
    <mc:Choice Requires="x15">
      <x15ac:absPath xmlns:x15ac="http://schemas.microsoft.com/office/spreadsheetml/2010/11/ac" url="/Users/drewpfitzner/Documents/Projects/Claude_Projects/Horizon/research_materials/spreadsheets/"/>
    </mc:Choice>
  </mc:AlternateContent>
  <xr:revisionPtr revIDLastSave="0" documentId="13_ncr:1_{3D980E34-04A1-7A43-9BB5-9D2EAC9F02D7}" xr6:coauthVersionLast="47" xr6:coauthVersionMax="47" xr10:uidLastSave="{00000000-0000-0000-0000-000000000000}"/>
  <workbookProtection workbookAlgorithmName="SHA-512" workbookHashValue="beYP1v/XBlBSxSdtgu3jjvF2yR2swT4TinnhS263KbEi6VtRxpJb8Nt5XKsuo3TUb/R+DkA6f6hLYsg2Cr48iA==" workbookSaltValue="oWBCEklD6f79ejo+1/vLoQ==" workbookSpinCount="100000" lockStructure="1"/>
  <bookViews>
    <workbookView xWindow="0" yWindow="600" windowWidth="33600" windowHeight="20400" firstSheet="11" activeTab="27" xr2:uid="{00000000-000D-0000-FFFF-FFFF00000000}"/>
  </bookViews>
  <sheets>
    <sheet name=".TABLE OF CONTENTS" sheetId="2" r:id="rId1"/>
    <sheet name=".X" sheetId="6" state="hidden" r:id="rId2"/>
    <sheet name=".X (2)" sheetId="176" r:id="rId3"/>
    <sheet name=".X (3)" sheetId="177" r:id="rId4"/>
    <sheet name="ADBE" sheetId="164" r:id="rId5"/>
    <sheet name="AOS" sheetId="166" r:id="rId6"/>
    <sheet name="ASML" sheetId="152" r:id="rId7"/>
    <sheet name="BMI" sheetId="167" r:id="rId8"/>
    <sheet name="CAN" sheetId="171" r:id="rId9"/>
    <sheet name="CMCSA" sheetId="160" r:id="rId10"/>
    <sheet name="COST" sheetId="153" r:id="rId11"/>
    <sheet name="CTSH" sheetId="169" r:id="rId12"/>
    <sheet name="GGG" sheetId="180" r:id="rId13"/>
    <sheet name="GIS" sheetId="170" r:id="rId14"/>
    <sheet name="GOOGL" sheetId="154" r:id="rId15"/>
    <sheet name="GRMN" sheetId="155" r:id="rId16"/>
    <sheet name="INFY" sheetId="173" r:id="rId17"/>
    <sheet name="MNST" sheetId="156" r:id="rId18"/>
    <sheet name="MSFT" sheetId="157" r:id="rId19"/>
    <sheet name="MZTI" sheetId="175" r:id="rId20"/>
    <sheet name="NKE" sheetId="165" r:id="rId21"/>
    <sheet name="NTES" sheetId="172" r:id="rId22"/>
    <sheet name="NYT" sheetId="168" r:id="rId23"/>
    <sheet name="PRDO" sheetId="179" r:id="rId24"/>
    <sheet name="QCOM" sheetId="158" r:id="rId25"/>
    <sheet name="RMD" sheetId="174" r:id="rId26"/>
    <sheet name="UNLR" sheetId="159" r:id="rId27"/>
    <sheet name="VRTX" sheetId="178" r:id="rId28"/>
  </sheets>
  <definedNames>
    <definedName name="_xlnm._FilterDatabase" localSheetId="0" hidden="1">'.TABLE OF CONTENTS'!$A$1:$G$51</definedName>
    <definedName name="_xlnm.Print_Titles" localSheetId="0">'.TABLE OF CONTENTS'!$1:$1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1" i="2" l="1" a="1"/>
  <c r="C7" i="2" a="1"/>
  <c r="D40" i="2" a="1"/>
  <c r="A39" i="2" a="1"/>
  <c r="A22" i="2" a="1"/>
  <c r="A34" i="2" a="1"/>
  <c r="A16" i="2" a="1"/>
  <c r="C16" i="2" a="1"/>
  <c r="F39" i="2" a="1"/>
  <c r="A35" i="2" a="1"/>
  <c r="E32" i="2" a="1"/>
  <c r="C34" i="2" a="1"/>
  <c r="A42" i="2" a="1"/>
  <c r="F45" i="2" a="1"/>
  <c r="C11" i="2" a="1"/>
  <c r="E34" i="2" a="1"/>
  <c r="E50" i="2" a="1"/>
  <c r="A12" i="2" a="1"/>
  <c r="G31" i="2" a="1"/>
  <c r="E44" i="2" a="1"/>
  <c r="G50" i="2" a="1"/>
  <c r="E39" i="2" a="1"/>
  <c r="F35" i="2" a="1"/>
  <c r="A11" i="2" a="1"/>
  <c r="C15" i="2" a="1"/>
  <c r="A7" i="2" a="1"/>
  <c r="E25" i="2" a="1"/>
  <c r="E2" i="2" a="1"/>
  <c r="E11" i="2" a="1"/>
  <c r="E29" i="2" a="1"/>
  <c r="C43" i="2" a="1"/>
  <c r="C40" i="2" a="1"/>
  <c r="E43" i="2" a="1"/>
  <c r="E46" i="2" a="1"/>
  <c r="G28" i="2" a="1"/>
  <c r="D50" i="2" a="1"/>
  <c r="G51" i="2" a="1"/>
  <c r="F44" i="2" a="1"/>
  <c r="E45" i="2" a="1"/>
  <c r="G44" i="2" a="1"/>
  <c r="A30" i="2" a="1"/>
  <c r="C21" i="2" a="1"/>
  <c r="E20" i="2" a="1"/>
  <c r="A6" i="2" a="1"/>
  <c r="D48" i="2" a="1"/>
  <c r="E35" i="2" a="1"/>
  <c r="C20" i="2" a="1"/>
  <c r="A2" i="2" a="1"/>
  <c r="A13" i="2" a="1"/>
  <c r="A41" i="2" a="1"/>
  <c r="A19" i="2" a="1"/>
  <c r="G45" i="2" a="1"/>
  <c r="E49" i="2" a="1"/>
  <c r="E5" i="2" a="1"/>
  <c r="E6" i="2" a="1"/>
  <c r="D37" i="2" a="1"/>
  <c r="E37" i="2" a="1"/>
  <c r="A33" i="2" a="1"/>
  <c r="G41" i="2" a="1"/>
  <c r="F30" i="2" a="1"/>
  <c r="C28" i="2" a="1"/>
  <c r="E24" i="2" a="1"/>
  <c r="C39" i="2" a="1"/>
  <c r="C30" i="2" a="1"/>
  <c r="A26" i="2" a="1"/>
  <c r="A38" i="2" a="1"/>
  <c r="F41" i="2" a="1"/>
  <c r="F33" i="2" a="1"/>
  <c r="C24" i="2" a="1"/>
  <c r="G47" i="2" a="1"/>
  <c r="F29" i="2" a="1"/>
  <c r="C48" i="2" a="1"/>
  <c r="D46" i="2" a="1"/>
  <c r="C22" i="2" a="1"/>
  <c r="A15" i="2" a="1"/>
  <c r="G43" i="2" a="1"/>
  <c r="A45" i="2" a="1"/>
  <c r="E30" i="2" a="1"/>
  <c r="C46" i="2" a="1"/>
  <c r="C27" i="2" a="1"/>
  <c r="E8" i="2" a="1"/>
  <c r="E12" i="2" a="1"/>
  <c r="A20" i="2" a="1"/>
  <c r="C31" i="2" a="1"/>
  <c r="F46" i="2" a="1"/>
  <c r="A10" i="2" a="1"/>
  <c r="D30" i="2" a="1"/>
  <c r="E18" i="2" a="1"/>
  <c r="F37" i="2" a="1"/>
  <c r="A40" i="2" a="1"/>
  <c r="A24" i="2" a="1"/>
  <c r="E42" i="2" a="1"/>
  <c r="A21" i="2" a="1"/>
  <c r="A4" i="2" a="1"/>
  <c r="G40" i="2" a="1"/>
  <c r="A36" i="2" a="1"/>
  <c r="G32" i="2" a="1"/>
  <c r="F32" i="2" a="1"/>
  <c r="G39" i="2" a="1"/>
  <c r="E47" i="2" a="1"/>
  <c r="E51" i="2" a="1"/>
  <c r="C19" i="2" a="1"/>
  <c r="A17" i="2" a="1"/>
  <c r="E38" i="2" a="1"/>
  <c r="F51" i="2" a="1"/>
  <c r="F42" i="2" a="1"/>
  <c r="A44" i="2" a="1"/>
  <c r="G34" i="2" a="1"/>
  <c r="F34" i="2" a="1"/>
  <c r="C10" i="2" a="1"/>
  <c r="E33" i="2" a="1"/>
  <c r="C3" i="2" a="1"/>
  <c r="G30" i="2" a="1"/>
  <c r="E36" i="2" a="1"/>
  <c r="A43" i="2" a="1"/>
  <c r="G46" i="2" a="1"/>
  <c r="E4" i="2" a="1"/>
  <c r="E23" i="2" a="1"/>
  <c r="E10" i="2" a="1"/>
  <c r="G48" i="2" a="1"/>
  <c r="A49" i="2" a="1"/>
  <c r="C32" i="2" a="1"/>
  <c r="D39" i="2" a="1"/>
  <c r="A14" i="2" a="1"/>
  <c r="C2" i="2" a="1"/>
  <c r="A50" i="2" a="1"/>
  <c r="C50" i="2" a="1"/>
  <c r="D51" i="2" a="1"/>
  <c r="A5" i="2" a="1"/>
  <c r="C23" i="2" a="1"/>
  <c r="A23" i="2" a="1"/>
  <c r="E28" i="2" a="1"/>
  <c r="A27" i="2" a="1"/>
  <c r="E17" i="2" a="1"/>
  <c r="D41" i="2" a="1"/>
  <c r="A8" i="2" a="1"/>
  <c r="D42" i="2" a="1"/>
  <c r="A18" i="2" a="1"/>
  <c r="C25" i="2" a="1"/>
  <c r="A28" i="2" a="1"/>
  <c r="C6" i="2" a="1"/>
  <c r="C38" i="2" a="1"/>
  <c r="D38" i="2" a="1"/>
  <c r="C4" i="2" a="1"/>
  <c r="A9" i="2" a="1"/>
  <c r="C26" i="2" a="1"/>
  <c r="D43" i="2" a="1"/>
  <c r="F40" i="2" a="1"/>
  <c r="E41" i="2" a="1"/>
  <c r="G33" i="2" a="1"/>
  <c r="G42" i="2" a="1"/>
  <c r="G36" i="2" a="1"/>
  <c r="G38" i="2" a="1"/>
  <c r="C8" i="2" a="1"/>
  <c r="E40" i="2" a="1"/>
  <c r="F36" i="2" a="1"/>
  <c r="C12" i="2" a="1"/>
  <c r="G35" i="2" a="1"/>
  <c r="F28" i="2" a="1"/>
  <c r="G29" i="2" a="1"/>
  <c r="E16" i="2" a="1"/>
  <c r="F48" i="2" a="1"/>
  <c r="A37" i="2" a="1"/>
  <c r="C51" i="2" a="1"/>
  <c r="A31" i="2" a="1"/>
  <c r="C37" i="2" a="1"/>
  <c r="C33" i="2" a="1"/>
  <c r="C44" i="2" a="1"/>
  <c r="G49" i="2" a="1"/>
  <c r="E48" i="2" a="1"/>
  <c r="C13" i="2" a="1"/>
  <c r="D45" i="2" a="1"/>
  <c r="A46" i="2" a="1"/>
  <c r="C36" i="2" a="1"/>
  <c r="C14" i="2" a="1"/>
  <c r="D28" i="2" a="1"/>
  <c r="D35" i="2" a="1"/>
  <c r="C5" i="2" a="1"/>
  <c r="A3" i="2" a="1"/>
  <c r="C18" i="2" a="1"/>
  <c r="A29" i="2" a="1"/>
  <c r="D44" i="2" a="1"/>
  <c r="A48" i="2" a="1"/>
  <c r="E22" i="2" a="1"/>
  <c r="E27" i="2" a="1"/>
  <c r="E7" i="2" a="1"/>
  <c r="E3" i="2" a="1"/>
  <c r="C49" i="2" a="1"/>
  <c r="A25" i="2" a="1"/>
  <c r="C29" i="2" a="1"/>
  <c r="G37" i="2" a="1"/>
  <c r="A51" i="2" a="1"/>
  <c r="C47" i="2" a="1"/>
  <c r="F43" i="2" a="1"/>
  <c r="D33" i="2" a="1"/>
  <c r="C42" i="2" a="1"/>
  <c r="A47" i="2" a="1"/>
  <c r="C9" i="2" a="1"/>
  <c r="E21" i="2" a="1"/>
  <c r="D32" i="2" a="1"/>
  <c r="C41" i="2" a="1"/>
  <c r="F47" i="2" a="1"/>
  <c r="C35" i="2" a="1"/>
  <c r="F50" i="2" a="1"/>
  <c r="D31" i="2" a="1"/>
  <c r="D34" i="2" a="1"/>
  <c r="D36" i="2" a="1"/>
  <c r="C45" i="2" a="1"/>
  <c r="F31" i="2" a="1"/>
  <c r="C17" i="2" a="1"/>
  <c r="D47" i="2" a="1"/>
  <c r="E9" i="2" a="1"/>
  <c r="A32" i="2" a="1"/>
  <c r="D49" i="2" a="1"/>
  <c r="D29" i="2" a="1"/>
  <c r="F38" i="2" a="1"/>
  <c r="F49" i="2" a="1"/>
  <c r="D13" i="2" a="1"/>
  <c r="D9" i="2" a="1"/>
  <c r="D27" i="2" a="1"/>
  <c r="E19" i="2" a="1"/>
  <c r="F17" i="2" a="1"/>
  <c r="D14" i="2" a="1"/>
  <c r="E13" i="2" a="1"/>
  <c r="F27" i="2" a="1"/>
  <c r="F9" i="2" a="1"/>
  <c r="E31" i="178" l="1"/>
  <c r="F49" i="2"/>
  <c r="F38" i="2"/>
  <c r="D29" i="2"/>
  <c r="D49" i="2"/>
  <c r="A32" i="2"/>
  <c r="E9" i="2"/>
  <c r="D47" i="2"/>
  <c r="C17" i="2"/>
  <c r="F31" i="2"/>
  <c r="C45" i="2"/>
  <c r="D36" i="2"/>
  <c r="D34" i="2"/>
  <c r="D31" i="2"/>
  <c r="F50" i="2"/>
  <c r="C35" i="2"/>
  <c r="F47" i="2"/>
  <c r="C41" i="2"/>
  <c r="D32" i="2"/>
  <c r="E21" i="2"/>
  <c r="C9" i="2"/>
  <c r="A47" i="2"/>
  <c r="C42" i="2"/>
  <c r="D33" i="2"/>
  <c r="F43" i="2"/>
  <c r="C47" i="2"/>
  <c r="A51" i="2"/>
  <c r="G37" i="2"/>
  <c r="C29" i="2"/>
  <c r="A25" i="2"/>
  <c r="C49" i="2"/>
  <c r="E3" i="2"/>
  <c r="E7" i="2"/>
  <c r="E27" i="2"/>
  <c r="E22" i="2"/>
  <c r="A48" i="2"/>
  <c r="D44" i="2"/>
  <c r="A29" i="2"/>
  <c r="C18" i="2"/>
  <c r="A3" i="2"/>
  <c r="C5" i="2"/>
  <c r="D35" i="2"/>
  <c r="D28" i="2"/>
  <c r="C14" i="2"/>
  <c r="C36" i="2"/>
  <c r="A46" i="2"/>
  <c r="D45" i="2"/>
  <c r="C13" i="2"/>
  <c r="E48" i="2"/>
  <c r="G49" i="2"/>
  <c r="C44" i="2"/>
  <c r="C33" i="2"/>
  <c r="C37" i="2"/>
  <c r="A31" i="2"/>
  <c r="C51" i="2"/>
  <c r="A37" i="2"/>
  <c r="F48" i="2"/>
  <c r="E16" i="2"/>
  <c r="G29" i="2"/>
  <c r="F28" i="2"/>
  <c r="G35" i="2"/>
  <c r="C12" i="2"/>
  <c r="F36" i="2"/>
  <c r="E40" i="2"/>
  <c r="C8" i="2"/>
  <c r="G38" i="2"/>
  <c r="G36" i="2"/>
  <c r="G42" i="2"/>
  <c r="G33" i="2"/>
  <c r="E41" i="2"/>
  <c r="F40" i="2"/>
  <c r="D43" i="2"/>
  <c r="C26" i="2"/>
  <c r="A9" i="2"/>
  <c r="C4" i="2"/>
  <c r="D38" i="2"/>
  <c r="C38" i="2"/>
  <c r="C6" i="2"/>
  <c r="A28" i="2"/>
  <c r="C25" i="2"/>
  <c r="A18" i="2"/>
  <c r="D42" i="2"/>
  <c r="A8" i="2"/>
  <c r="D41" i="2"/>
  <c r="E17" i="2"/>
  <c r="A27" i="2"/>
  <c r="E28" i="2"/>
  <c r="A23" i="2"/>
  <c r="C23" i="2"/>
  <c r="A5" i="2"/>
  <c r="D51" i="2"/>
  <c r="C50" i="2"/>
  <c r="A50" i="2"/>
  <c r="C2" i="2"/>
  <c r="A14" i="2"/>
  <c r="D39" i="2"/>
  <c r="C32" i="2"/>
  <c r="A49" i="2"/>
  <c r="G48" i="2"/>
  <c r="E10" i="2"/>
  <c r="E23" i="2"/>
  <c r="E4" i="2"/>
  <c r="G46" i="2"/>
  <c r="A43" i="2"/>
  <c r="E36" i="2"/>
  <c r="G30" i="2"/>
  <c r="C3" i="2"/>
  <c r="E33" i="2"/>
  <c r="C10" i="2"/>
  <c r="F34" i="2"/>
  <c r="G34" i="2"/>
  <c r="A44" i="2"/>
  <c r="F42" i="2"/>
  <c r="F51" i="2"/>
  <c r="E38" i="2"/>
  <c r="A17" i="2"/>
  <c r="C19" i="2"/>
  <c r="E51" i="2"/>
  <c r="E47" i="2"/>
  <c r="G39" i="2"/>
  <c r="F32" i="2"/>
  <c r="G32" i="2"/>
  <c r="A36" i="2"/>
  <c r="G40" i="2"/>
  <c r="A4" i="2"/>
  <c r="A21" i="2"/>
  <c r="E42" i="2"/>
  <c r="A24" i="2"/>
  <c r="A40" i="2"/>
  <c r="F37" i="2"/>
  <c r="E18" i="2"/>
  <c r="D30" i="2"/>
  <c r="A10" i="2"/>
  <c r="F46" i="2"/>
  <c r="C31" i="2"/>
  <c r="A20" i="2"/>
  <c r="E12" i="2"/>
  <c r="E8" i="2"/>
  <c r="C27" i="2"/>
  <c r="C46" i="2"/>
  <c r="E30" i="2"/>
  <c r="A45" i="2"/>
  <c r="G43" i="2"/>
  <c r="A15" i="2"/>
  <c r="C22" i="2"/>
  <c r="D46" i="2"/>
  <c r="C48" i="2"/>
  <c r="F29" i="2"/>
  <c r="G47" i="2"/>
  <c r="C24" i="2"/>
  <c r="F33" i="2"/>
  <c r="F41" i="2"/>
  <c r="A38" i="2"/>
  <c r="A26" i="2"/>
  <c r="C30" i="2"/>
  <c r="C39" i="2"/>
  <c r="E24" i="2"/>
  <c r="C28" i="2"/>
  <c r="F30" i="2"/>
  <c r="G41" i="2"/>
  <c r="A33" i="2"/>
  <c r="E37" i="2"/>
  <c r="D37" i="2"/>
  <c r="E6" i="2"/>
  <c r="E5" i="2"/>
  <c r="E49" i="2"/>
  <c r="G45" i="2"/>
  <c r="A19" i="2"/>
  <c r="A41" i="2"/>
  <c r="A13" i="2"/>
  <c r="A2" i="2"/>
  <c r="C20" i="2"/>
  <c r="E35" i="2"/>
  <c r="D48" i="2"/>
  <c r="A6" i="2"/>
  <c r="E20" i="2"/>
  <c r="C21" i="2"/>
  <c r="A30" i="2"/>
  <c r="G44" i="2"/>
  <c r="E45" i="2"/>
  <c r="F44" i="2"/>
  <c r="G51" i="2"/>
  <c r="D50" i="2"/>
  <c r="G28" i="2"/>
  <c r="E46" i="2"/>
  <c r="E43" i="2"/>
  <c r="C40" i="2"/>
  <c r="C43" i="2"/>
  <c r="E29" i="2"/>
  <c r="E11" i="2"/>
  <c r="E2" i="2"/>
  <c r="E25" i="2"/>
  <c r="A7" i="2"/>
  <c r="C15" i="2"/>
  <c r="A11" i="2"/>
  <c r="F35" i="2"/>
  <c r="E39" i="2"/>
  <c r="G50" i="2"/>
  <c r="E44" i="2"/>
  <c r="G31" i="2"/>
  <c r="A12" i="2"/>
  <c r="E50" i="2"/>
  <c r="E34" i="2"/>
  <c r="C11" i="2"/>
  <c r="F45" i="2"/>
  <c r="A42" i="2"/>
  <c r="C34" i="2"/>
  <c r="E32" i="2"/>
  <c r="A35" i="2"/>
  <c r="F39" i="2"/>
  <c r="C16" i="2"/>
  <c r="A16" i="2"/>
  <c r="A34" i="2"/>
  <c r="A22" i="2"/>
  <c r="A39" i="2"/>
  <c r="D40" i="2"/>
  <c r="C7" i="2"/>
  <c r="E31" i="2"/>
  <c r="D13" i="2"/>
  <c r="D14" i="2"/>
  <c r="F27" i="2"/>
  <c r="F17" i="2"/>
  <c r="E19" i="2"/>
  <c r="D27" i="2"/>
  <c r="E13" i="2"/>
  <c r="D9" i="2"/>
  <c r="F9" i="2"/>
  <c r="F22" i="2" a="1"/>
  <c r="D4" i="2" a="1"/>
  <c r="D21" i="2" a="1"/>
  <c r="D8" i="2" a="1"/>
  <c r="D22" i="2" a="1"/>
  <c r="D17" i="2" a="1"/>
  <c r="F6" i="2" a="1"/>
  <c r="F21" i="2" a="1"/>
  <c r="D5" i="2" a="1"/>
  <c r="D6" i="2" a="1"/>
  <c r="F4" i="2" a="1"/>
  <c r="F8" i="2" a="1"/>
  <c r="F7" i="2" a="1"/>
  <c r="F12" i="2" a="1"/>
  <c r="D12" i="2" a="1"/>
  <c r="E26" i="2" a="1"/>
  <c r="D7" i="2" a="1"/>
  <c r="D15" i="2" a="1"/>
  <c r="F8" i="2" l="1"/>
  <c r="F4" i="2"/>
  <c r="D6" i="2"/>
  <c r="D5" i="2"/>
  <c r="F21" i="2"/>
  <c r="F6" i="2"/>
  <c r="D17" i="2"/>
  <c r="D22" i="2"/>
  <c r="D8" i="2"/>
  <c r="D21" i="2"/>
  <c r="D4" i="2"/>
  <c r="F22" i="2"/>
  <c r="E31" i="167"/>
  <c r="E31" i="180"/>
  <c r="D12" i="2"/>
  <c r="F12" i="2"/>
  <c r="F7" i="2"/>
  <c r="E26" i="2"/>
  <c r="D15" i="2"/>
  <c r="D7" i="2"/>
  <c r="E31" i="160"/>
  <c r="E31" i="6"/>
  <c r="D24" i="2" a="1"/>
  <c r="D11" i="2" a="1"/>
  <c r="F13" i="2" a="1"/>
  <c r="F16" i="2" a="1"/>
  <c r="F19" i="2" a="1"/>
  <c r="D16" i="2" a="1"/>
  <c r="F14" i="2" a="1"/>
  <c r="F3" i="2" a="1"/>
  <c r="F2" i="2" a="1"/>
  <c r="F25" i="2" a="1"/>
  <c r="F23" i="2" a="1"/>
  <c r="D2" i="2" a="1"/>
  <c r="D18" i="2" a="1"/>
  <c r="F24" i="2" a="1"/>
  <c r="D19" i="2" a="1"/>
  <c r="F26" i="2" a="1"/>
  <c r="E14" i="2" a="1"/>
  <c r="D25" i="2" a="1"/>
  <c r="D23" i="2" a="1"/>
  <c r="E15" i="2" a="1"/>
  <c r="D20" i="2" a="1"/>
  <c r="F11" i="2" a="1"/>
  <c r="F15" i="2" a="1"/>
  <c r="F20" i="2" a="1"/>
  <c r="D26" i="2" a="1"/>
  <c r="D3" i="2" a="1"/>
  <c r="F10" i="2" a="1"/>
  <c r="F5" i="2" a="1"/>
  <c r="D10" i="2" a="1"/>
  <c r="F18" i="2" a="1"/>
  <c r="G9" i="2" a="1"/>
  <c r="G27" i="2" a="1"/>
  <c r="F18" i="2" l="1"/>
  <c r="D10" i="2"/>
  <c r="F5" i="2"/>
  <c r="F10" i="2"/>
  <c r="D3" i="2"/>
  <c r="D26" i="2"/>
  <c r="F20" i="2"/>
  <c r="F15" i="2"/>
  <c r="F11" i="2"/>
  <c r="D20" i="2"/>
  <c r="E15" i="2"/>
  <c r="D23" i="2"/>
  <c r="D25" i="2"/>
  <c r="E14" i="2"/>
  <c r="F26" i="2"/>
  <c r="D19" i="2"/>
  <c r="F24" i="2"/>
  <c r="D18" i="2"/>
  <c r="D2" i="2"/>
  <c r="F23" i="2"/>
  <c r="F25" i="2"/>
  <c r="F2" i="2"/>
  <c r="F3" i="2"/>
  <c r="F14" i="2"/>
  <c r="D16" i="2"/>
  <c r="F19" i="2"/>
  <c r="F16" i="2"/>
  <c r="F13" i="2"/>
  <c r="D11" i="2"/>
  <c r="D24" i="2"/>
  <c r="E31" i="156"/>
  <c r="E31" i="152"/>
  <c r="E31" i="172"/>
  <c r="E31" i="164"/>
  <c r="G27" i="2"/>
  <c r="E31" i="166"/>
  <c r="E31" i="171"/>
  <c r="E31" i="168"/>
  <c r="G9" i="2"/>
  <c r="G21" i="2" a="1"/>
  <c r="G17" i="2" a="1"/>
  <c r="G6" i="2" a="1"/>
  <c r="G4" i="2" a="1"/>
  <c r="G5" i="2" a="1"/>
  <c r="G8" i="2" a="1"/>
  <c r="G22" i="2" a="1"/>
  <c r="G12" i="2" a="1"/>
  <c r="G7" i="2" a="1"/>
  <c r="G22" i="2" l="1"/>
  <c r="G8" i="2"/>
  <c r="G5" i="2"/>
  <c r="G4" i="2"/>
  <c r="G6" i="2"/>
  <c r="G17" i="2"/>
  <c r="G21" i="2"/>
  <c r="E31" i="157"/>
  <c r="E31" i="153"/>
  <c r="E31" i="170"/>
  <c r="E31" i="154"/>
  <c r="E31" i="165"/>
  <c r="E31" i="174"/>
  <c r="E31" i="159"/>
  <c r="E31" i="177"/>
  <c r="E31" i="158"/>
  <c r="E31" i="175"/>
  <c r="E31" i="179"/>
  <c r="E31" i="155"/>
  <c r="E31" i="169"/>
  <c r="E31" i="173"/>
  <c r="E31" i="176"/>
  <c r="G7" i="2"/>
  <c r="G12" i="2"/>
  <c r="G10" i="2" a="1"/>
  <c r="G26" i="2" a="1"/>
  <c r="G14" i="2" a="1"/>
  <c r="G20" i="2" a="1"/>
  <c r="G24" i="2" a="1"/>
  <c r="G11" i="2" a="1"/>
  <c r="G2" i="2" a="1"/>
  <c r="G3" i="2" a="1"/>
  <c r="G15" i="2" a="1"/>
  <c r="G13" i="2" a="1"/>
  <c r="G16" i="2" a="1"/>
  <c r="G19" i="2" a="1"/>
  <c r="G18" i="2" a="1"/>
  <c r="G23" i="2" a="1"/>
  <c r="G25" i="2" a="1"/>
  <c r="G25" i="2" l="1"/>
  <c r="G23" i="2"/>
  <c r="G18" i="2"/>
  <c r="G19" i="2"/>
  <c r="G16" i="2"/>
  <c r="G13" i="2"/>
  <c r="G15" i="2"/>
  <c r="G3" i="2"/>
  <c r="G2" i="2"/>
  <c r="G11" i="2"/>
  <c r="G24" i="2"/>
  <c r="G20" i="2"/>
  <c r="G14" i="2"/>
  <c r="G26" i="2"/>
  <c r="G1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3B38977D-5517-4096-B782-6C41EA9160A8}">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B1670436-75EF-418F-BF45-1408DE9EA02D}">
      <text>
        <r>
          <rPr>
            <b/>
            <sz val="9"/>
            <color indexed="81"/>
            <rFont val="Tahoma"/>
            <family val="2"/>
          </rPr>
          <t>Dividend Payout Ratio:</t>
        </r>
        <r>
          <rPr>
            <sz val="9"/>
            <color indexed="81"/>
            <rFont val="Tahoma"/>
            <family val="2"/>
          </rPr>
          <t xml:space="preserve">
Information from GuruFocus, “30-Y Financials” tab, “Ratios” section
Free Account - use TTM plus last 4 years.
Paid Account – start with the same year/column as you used for Year 1 ROE figures
No dividend paid, record zero for the dividend payout ratio.
(If you can’t find the line “Dividend Payout Ratio” in GuruFocus, the company may not pay a Dividend. To confirm go to the “Dividend” tab. It will say for example “GOOGL does not pay a dividend”.)
</t>
        </r>
        <r>
          <rPr>
            <b/>
            <sz val="9"/>
            <color indexed="81"/>
            <rFont val="Tahoma"/>
            <family val="2"/>
          </rPr>
          <t>Exceptions:</t>
        </r>
        <r>
          <rPr>
            <sz val="9"/>
            <color indexed="81"/>
            <rFont val="Tahoma"/>
            <family val="2"/>
          </rPr>
          <t xml:space="preserve">
If a very large dividend has been paid (like for some companies in 2017) you can normalise the figure to the average of the years either side.</t>
        </r>
        <r>
          <rPr>
            <b/>
            <sz val="9"/>
            <color indexed="81"/>
            <rFont val="Tahoma"/>
            <family val="2"/>
          </rPr>
          <t xml:space="preserve">
</t>
        </r>
      </text>
    </comment>
    <comment ref="A14" authorId="1" shapeId="0" xr:uid="{1DEF6C45-8392-407F-B659-95EA265E0301}">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754CB58B-F736-431D-A255-C5E1F20372F7}">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E87385FA-2BF8-4A58-BA8C-A4D8CBEFDFCF}">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FAA69B2E-FF6E-FB4C-8757-87E21314789A}">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D7A00659-D316-6040-B5D4-CA545B4550B7}">
      <text>
        <r>
          <rPr>
            <b/>
            <sz val="9"/>
            <color indexed="81"/>
            <rFont val="Tahoma"/>
            <family val="2"/>
          </rPr>
          <t>Dividend Payout Ratio:</t>
        </r>
        <r>
          <rPr>
            <sz val="9"/>
            <color indexed="81"/>
            <rFont val="Tahoma"/>
            <family val="2"/>
          </rPr>
          <t xml:space="preserve">
Information from GuruFocus, “30-Y Financials” tab, “Ratios” section
Free Account - use TTM plus last 4 years.
Paid Account – start with the same year/column as you used for Year 1 ROE figures
No dividend paid, record zero for the dividend payout ratio.
(If you can’t find the line “Dividend Payout Ratio” in GuruFocus, the company may not pay a Dividend. To confirm go to the “Dividend” tab. It will say for example “GOOGL does not pay a dividend”.)
</t>
        </r>
        <r>
          <rPr>
            <b/>
            <sz val="9"/>
            <color indexed="81"/>
            <rFont val="Tahoma"/>
            <family val="2"/>
          </rPr>
          <t>Exceptions:</t>
        </r>
        <r>
          <rPr>
            <sz val="9"/>
            <color indexed="81"/>
            <rFont val="Tahoma"/>
            <family val="2"/>
          </rPr>
          <t xml:space="preserve">
If a very large dividend has been paid (like for some companies in 2017) you can normalise the figure to the average of the years either side.</t>
        </r>
        <r>
          <rPr>
            <b/>
            <sz val="9"/>
            <color indexed="81"/>
            <rFont val="Tahoma"/>
            <family val="2"/>
          </rPr>
          <t xml:space="preserve">
</t>
        </r>
      </text>
    </comment>
    <comment ref="A14" authorId="1" shapeId="0" xr:uid="{F362CE98-354E-3947-86D9-4D5624DC6C49}">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17911651-4B39-1B47-877E-ED137B05E271}">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F9FC4052-8FA6-C844-B97F-58B401A3F686}">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776AB0B4-A561-A949-9210-C25D69B85365}">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547642CF-EFC3-DC43-AEE1-A42D2A1452A8}">
      <text>
        <r>
          <rPr>
            <b/>
            <sz val="9"/>
            <color indexed="81"/>
            <rFont val="Tahoma"/>
            <family val="2"/>
          </rPr>
          <t>Dividend Payout Ratio:</t>
        </r>
        <r>
          <rPr>
            <sz val="9"/>
            <color indexed="81"/>
            <rFont val="Tahoma"/>
            <family val="2"/>
          </rPr>
          <t xml:space="preserve">
Information from GuruFocus, “30-Y Financials” tab, “Ratios” section
Free Account - use TTM plus last 4 years.
Paid Account – start with the same year/column as you used for Year 1 ROE figures
No dividend paid, record zero for the dividend payout ratio.
(If you can’t find the line “Dividend Payout Ratio” in GuruFocus, the company may not pay a Dividend. To confirm go to the “Dividend” tab. It will say for example “GOOGL does not pay a dividend”.)
</t>
        </r>
        <r>
          <rPr>
            <b/>
            <sz val="9"/>
            <color indexed="81"/>
            <rFont val="Tahoma"/>
            <family val="2"/>
          </rPr>
          <t>Exceptions:</t>
        </r>
        <r>
          <rPr>
            <sz val="9"/>
            <color indexed="81"/>
            <rFont val="Tahoma"/>
            <family val="2"/>
          </rPr>
          <t xml:space="preserve">
If a very large dividend has been paid (like for some companies in 2017) you can normalise the figure to the average of the years either side.</t>
        </r>
        <r>
          <rPr>
            <b/>
            <sz val="9"/>
            <color indexed="81"/>
            <rFont val="Tahoma"/>
            <family val="2"/>
          </rPr>
          <t xml:space="preserve">
</t>
        </r>
      </text>
    </comment>
    <comment ref="A14" authorId="1" shapeId="0" xr:uid="{B256F0BB-5C60-1E4A-B6B2-CCDF0D6A2B93}">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CAAE8DA6-3A8F-A348-8E88-8D57181BBF03}">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6133EA10-43C0-DF4E-AB98-5C95BCF974CA}">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4B8260E3-3BA1-8844-B18B-F13369C83AC5}">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2A96E96A-F82F-D345-8DE9-72A28C93FB85}">
      <text>
        <r>
          <rPr>
            <b/>
            <sz val="9"/>
            <color indexed="81"/>
            <rFont val="Tahoma"/>
            <family val="2"/>
          </rPr>
          <t>Dividend Payout Ratio:</t>
        </r>
        <r>
          <rPr>
            <sz val="9"/>
            <color indexed="81"/>
            <rFont val="Tahoma"/>
            <family val="2"/>
          </rPr>
          <t xml:space="preserve">
Information from GuruFocus, “30-Y Financials” tab, “Ratios” section
Free Account - use TTM plus last 4 years.
Paid Account – start with the same year/column as you used for Year 1 ROE figures
No dividend paid, record zero for the dividend payout ratio.
(If you can’t find the line “Dividend Payout Ratio” in GuruFocus, the company may not pay a Dividend. To confirm go to the “Dividend” tab. It will say for example “GOOGL does not pay a dividend”.)
</t>
        </r>
        <r>
          <rPr>
            <b/>
            <sz val="9"/>
            <color indexed="81"/>
            <rFont val="Tahoma"/>
            <family val="2"/>
          </rPr>
          <t>Exceptions:</t>
        </r>
        <r>
          <rPr>
            <sz val="9"/>
            <color indexed="81"/>
            <rFont val="Tahoma"/>
            <family val="2"/>
          </rPr>
          <t xml:space="preserve">
If a very large dividend has been paid (like for some companies in 2017) you can normalise the figure to the average of the years either side.</t>
        </r>
        <r>
          <rPr>
            <b/>
            <sz val="9"/>
            <color indexed="81"/>
            <rFont val="Tahoma"/>
            <family val="2"/>
          </rPr>
          <t xml:space="preserve">
</t>
        </r>
      </text>
    </comment>
    <comment ref="A14" authorId="1" shapeId="0" xr:uid="{D3B1359B-785E-2243-848D-68C781FA0A74}">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5AF70F9B-428B-F74D-AE10-6A0FCF299BCD}">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1855178F-D167-C54D-808B-A8EEAEDD99EF}">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C1D9B534-419F-284E-896A-4BC3EB42176F}">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73E784C2-EBD6-2648-A6DE-90B24389683C}">
      <text>
        <r>
          <rPr>
            <b/>
            <sz val="9"/>
            <color indexed="81"/>
            <rFont val="Tahoma"/>
            <family val="2"/>
          </rPr>
          <t>Dividend Payout Ratio:</t>
        </r>
        <r>
          <rPr>
            <sz val="9"/>
            <color indexed="81"/>
            <rFont val="Tahoma"/>
            <family val="2"/>
          </rPr>
          <t xml:space="preserve">
Information from GuruFocus, “30-Y Financials” tab, “Ratios” section
Free Account - use TTM plus last 4 years.
Paid Account – start with the same year/column as you used for Year 1 ROE figures
No dividend paid, record zero for the dividend payout ratio.
(If you can’t find the line “Dividend Payout Ratio” in GuruFocus, the company may not pay a Dividend. To confirm go to the “Dividend” tab. It will say for example “GOOGL does not pay a dividend”.)
</t>
        </r>
        <r>
          <rPr>
            <b/>
            <sz val="9"/>
            <color indexed="81"/>
            <rFont val="Tahoma"/>
            <family val="2"/>
          </rPr>
          <t>Exceptions:</t>
        </r>
        <r>
          <rPr>
            <sz val="9"/>
            <color indexed="81"/>
            <rFont val="Tahoma"/>
            <family val="2"/>
          </rPr>
          <t xml:space="preserve">
If a very large dividend has been paid (like for some companies in 2017) you can normalise the figure to the average of the years either side.</t>
        </r>
        <r>
          <rPr>
            <b/>
            <sz val="9"/>
            <color indexed="81"/>
            <rFont val="Tahoma"/>
            <family val="2"/>
          </rPr>
          <t xml:space="preserve">
</t>
        </r>
      </text>
    </comment>
    <comment ref="A14" authorId="1" shapeId="0" xr:uid="{C0BA6F5A-85A7-2641-BD49-94B9DC294869}">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0F2039DF-9BF8-254E-8935-3AB64A27FC65}">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792672B8-5E30-3746-973B-C2F89448AAEE}">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1729B51B-439C-4ED9-9278-B56AD8CD44E6}">
      <text>
        <r>
          <rPr>
            <b/>
            <sz val="9"/>
            <color rgb="FF000000"/>
            <rFont val="Tahoma"/>
            <family val="2"/>
          </rPr>
          <t xml:space="preserve">Return on Equity (%)
</t>
        </r>
        <r>
          <rPr>
            <b/>
            <sz val="9"/>
            <color rgb="FF000000"/>
            <rFont val="Tahoma"/>
            <family val="2"/>
          </rPr>
          <t xml:space="preserve">
</t>
        </r>
        <r>
          <rPr>
            <sz val="9"/>
            <color rgb="FF000000"/>
            <rFont val="Tahoma"/>
            <family val="2"/>
          </rPr>
          <t xml:space="preserve">Information from GuruFocus, “30-Y Finanicals” tab, “Ratios” section
</t>
        </r>
        <r>
          <rPr>
            <sz val="9"/>
            <color rgb="FF000000"/>
            <rFont val="Tahoma"/>
            <family val="2"/>
          </rPr>
          <t xml:space="preserve">
</t>
        </r>
        <r>
          <rPr>
            <sz val="9"/>
            <color rgb="FF000000"/>
            <rFont val="Tahoma"/>
            <family val="2"/>
          </rPr>
          <t xml:space="preserve">Free Account - use TTM plus last 4 years.
</t>
        </r>
        <r>
          <rPr>
            <sz val="9"/>
            <color rgb="FF000000"/>
            <rFont val="Tahoma"/>
            <family val="2"/>
          </rPr>
          <t xml:space="preserve">
</t>
        </r>
        <r>
          <rPr>
            <sz val="9"/>
            <color rgb="FF000000"/>
            <rFont val="Tahoma"/>
            <family val="2"/>
          </rPr>
          <t xml:space="preserve">Paid Account – use last 5 years figures, if next 6 months or more figures available use TTM plus last 4 years.
</t>
        </r>
        <r>
          <rPr>
            <sz val="9"/>
            <color rgb="FF000000"/>
            <rFont val="Tahoma"/>
            <family val="2"/>
          </rPr>
          <t xml:space="preserve">
</t>
        </r>
        <r>
          <rPr>
            <b/>
            <sz val="9"/>
            <color rgb="FF000000"/>
            <rFont val="Tahoma"/>
            <family val="2"/>
          </rPr>
          <t>Exceptions:</t>
        </r>
        <r>
          <rPr>
            <sz val="9"/>
            <color rgb="FF000000"/>
            <rFont val="Tahoma"/>
            <family val="2"/>
          </rPr>
          <t xml:space="preserve">
</t>
        </r>
        <r>
          <rPr>
            <sz val="9"/>
            <color rgb="FF000000"/>
            <rFont val="Tahoma"/>
            <family val="2"/>
          </rPr>
          <t xml:space="preserve">Valuation Calculator can only be used on companies with a history of profitability. If company has a history of negative ROE the company is overvalued at any price.
</t>
        </r>
        <r>
          <rPr>
            <sz val="9"/>
            <color rgb="FF000000"/>
            <rFont val="Tahoma"/>
            <family val="2"/>
          </rPr>
          <t xml:space="preserve">
</t>
        </r>
        <r>
          <rPr>
            <sz val="9"/>
            <color rgb="FF000000"/>
            <rFont val="Tahoma"/>
            <family val="2"/>
          </rPr>
          <t xml:space="preserve">Generally speaking we avoid companies with any negative ROE within the last 5 years.
</t>
        </r>
        <r>
          <rPr>
            <sz val="9"/>
            <color rgb="FF000000"/>
            <rFont val="Tahoma"/>
            <family val="2"/>
          </rPr>
          <t xml:space="preserve">
</t>
        </r>
        <r>
          <rPr>
            <sz val="9"/>
            <color rgb="FF000000"/>
            <rFont val="Tahoma"/>
            <family val="2"/>
          </rPr>
          <t xml:space="preserve">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r>
          <rPr>
            <sz val="9"/>
            <color rgb="FF000000"/>
            <rFont val="Tahoma"/>
            <family val="2"/>
          </rPr>
          <t xml:space="preserve">
</t>
        </r>
        <r>
          <rPr>
            <sz val="9"/>
            <color rgb="FF000000"/>
            <rFont val="Tahoma"/>
            <family val="2"/>
          </rPr>
          <t xml:space="preserve">
</t>
        </r>
      </text>
    </comment>
    <comment ref="A13" authorId="0" shapeId="0" xr:uid="{49441BAF-B280-40FF-AD93-21774757B84C}">
      <text>
        <r>
          <rPr>
            <b/>
            <sz val="9"/>
            <color indexed="81"/>
            <rFont val="Tahoma"/>
            <family val="2"/>
          </rPr>
          <t>Dividend Payout Ratio:</t>
        </r>
        <r>
          <rPr>
            <sz val="9"/>
            <color indexed="81"/>
            <rFont val="Tahoma"/>
            <family val="2"/>
          </rPr>
          <t xml:space="preserve">
Information from GuruFocus, “30-Y Financials” tab, “Ratios” section
Free Account - use TTM plus last 4 years.
Paid Account – start with the same year/column as you used for Year 1 ROE figures
No dividend paid, record zero for the dividend payout ratio.
(If you can’t find the line “Dividend Payout Ratio” in GuruFocus, the company may not pay a Dividend. To confirm go to the “Dividend” tab. It will say for example “GOOGL does not pay a dividend”.)
</t>
        </r>
        <r>
          <rPr>
            <b/>
            <sz val="9"/>
            <color indexed="81"/>
            <rFont val="Tahoma"/>
            <family val="2"/>
          </rPr>
          <t>Exceptions:</t>
        </r>
        <r>
          <rPr>
            <sz val="9"/>
            <color indexed="81"/>
            <rFont val="Tahoma"/>
            <family val="2"/>
          </rPr>
          <t xml:space="preserve">
If a very large dividend has been paid (like for some companies in 2017) you can normalise the figure to the average of the years either side.</t>
        </r>
        <r>
          <rPr>
            <b/>
            <sz val="9"/>
            <color indexed="81"/>
            <rFont val="Tahoma"/>
            <family val="2"/>
          </rPr>
          <t xml:space="preserve">
</t>
        </r>
      </text>
    </comment>
    <comment ref="A14" authorId="1" shapeId="0" xr:uid="{D3D3F2D6-91B2-4D93-A87C-DF8ADFE60B2B}">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1234599F-4836-4E87-B3BD-1A6972396827}">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2F941C8D-EEFD-4EFC-8137-256119B8C2AF}">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9585A631-AA66-6046-854C-08C7C41464D6}">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B244C898-6A53-B14A-8A36-CDCBC984D91E}">
      <text>
        <r>
          <rPr>
            <b/>
            <sz val="9"/>
            <color indexed="81"/>
            <rFont val="Tahoma"/>
            <family val="2"/>
          </rPr>
          <t>Dividend Payout Ratio:</t>
        </r>
        <r>
          <rPr>
            <sz val="9"/>
            <color indexed="81"/>
            <rFont val="Tahoma"/>
            <family val="2"/>
          </rPr>
          <t xml:space="preserve">
Information from GuruFocus, “30-Y Financials” tab, “Ratios” section
Free Account - use TTM plus last 4 years.
Paid Account – start with the same year/column as you used for Year 1 ROE figures
No dividend paid, record zero for the dividend payout ratio.
(If you can’t find the line “Dividend Payout Ratio” in GuruFocus, the company may not pay a Dividend. To confirm go to the “Dividend” tab. It will say for example “GOOGL does not pay a dividend”.)
</t>
        </r>
        <r>
          <rPr>
            <b/>
            <sz val="9"/>
            <color indexed="81"/>
            <rFont val="Tahoma"/>
            <family val="2"/>
          </rPr>
          <t>Exceptions:</t>
        </r>
        <r>
          <rPr>
            <sz val="9"/>
            <color indexed="81"/>
            <rFont val="Tahoma"/>
            <family val="2"/>
          </rPr>
          <t xml:space="preserve">
If a very large dividend has been paid (like for some companies in 2017) you can normalise the figure to the average of the years either side.</t>
        </r>
        <r>
          <rPr>
            <b/>
            <sz val="9"/>
            <color indexed="81"/>
            <rFont val="Tahoma"/>
            <family val="2"/>
          </rPr>
          <t xml:space="preserve">
</t>
        </r>
      </text>
    </comment>
    <comment ref="A14" authorId="1" shapeId="0" xr:uid="{558D1F63-DFB6-3544-A5F1-6516D39EE6AD}">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D92C0C30-C097-7948-A4F6-480B80C8E2C8}">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27075270-A0C8-5942-812C-F4C9B44CB04D}">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417C76BE-449A-2C43-9C37-08FA33DDE0EC}">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FC6EB51F-34BC-6A49-9A26-1BA7922F297D}">
      <text>
        <r>
          <rPr>
            <b/>
            <sz val="9"/>
            <color indexed="81"/>
            <rFont val="Tahoma"/>
            <family val="2"/>
          </rPr>
          <t>Dividend Payout Ratio:</t>
        </r>
        <r>
          <rPr>
            <sz val="9"/>
            <color indexed="81"/>
            <rFont val="Tahoma"/>
            <family val="2"/>
          </rPr>
          <t xml:space="preserve">
Information from GuruFocus, “30-Y Financials” tab, “Ratios” section
Free Account - use TTM plus last 4 years.
Paid Account – start with the same year/column as you used for Year 1 ROE figures
No dividend paid, record zero for the dividend payout ratio.
(If you can’t find the line “Dividend Payout Ratio” in GuruFocus, the company may not pay a Dividend. To confirm go to the “Dividend” tab. It will say for example “GOOGL does not pay a dividend”.)
</t>
        </r>
        <r>
          <rPr>
            <b/>
            <sz val="9"/>
            <color indexed="81"/>
            <rFont val="Tahoma"/>
            <family val="2"/>
          </rPr>
          <t>Exceptions:</t>
        </r>
        <r>
          <rPr>
            <sz val="9"/>
            <color indexed="81"/>
            <rFont val="Tahoma"/>
            <family val="2"/>
          </rPr>
          <t xml:space="preserve">
If a very large dividend has been paid (like for some companies in 2017) you can normalise the figure to the average of the years either side.</t>
        </r>
        <r>
          <rPr>
            <b/>
            <sz val="9"/>
            <color indexed="81"/>
            <rFont val="Tahoma"/>
            <family val="2"/>
          </rPr>
          <t xml:space="preserve">
</t>
        </r>
      </text>
    </comment>
    <comment ref="A14" authorId="1" shapeId="0" xr:uid="{E04C5DA2-D53E-FE41-B766-2B8ACD1AF972}">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6EC7C40E-ACB1-834E-98AE-9BF6E2A28F30}">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C8EBD598-519A-464C-B0F9-8155E458C8D5}">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070001C9-5609-8544-AB2E-D38299C3560C}">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0F7C7501-0215-644A-BCBB-59489F57A1F2}">
      <text>
        <r>
          <rPr>
            <b/>
            <sz val="9"/>
            <color rgb="FF000000"/>
            <rFont val="Tahoma"/>
            <family val="2"/>
          </rPr>
          <t>Dividend Payout Ratio:</t>
        </r>
        <r>
          <rPr>
            <sz val="9"/>
            <color rgb="FF000000"/>
            <rFont val="Tahoma"/>
            <family val="2"/>
          </rPr>
          <t xml:space="preserve">
</t>
        </r>
        <r>
          <rPr>
            <sz val="9"/>
            <color rgb="FF000000"/>
            <rFont val="Tahoma"/>
            <family val="2"/>
          </rPr>
          <t xml:space="preserve">
</t>
        </r>
        <r>
          <rPr>
            <sz val="9"/>
            <color rgb="FF000000"/>
            <rFont val="Tahoma"/>
            <family val="2"/>
          </rPr>
          <t xml:space="preserve">Information from GuruFocus, “30-Y Financials” tab, “Ratios” section
</t>
        </r>
        <r>
          <rPr>
            <sz val="9"/>
            <color rgb="FF000000"/>
            <rFont val="Tahoma"/>
            <family val="2"/>
          </rPr>
          <t xml:space="preserve">
</t>
        </r>
        <r>
          <rPr>
            <sz val="9"/>
            <color rgb="FF000000"/>
            <rFont val="Tahoma"/>
            <family val="2"/>
          </rPr>
          <t xml:space="preserve">Free Account - use TTM plus last 4 years.
</t>
        </r>
        <r>
          <rPr>
            <sz val="9"/>
            <color rgb="FF000000"/>
            <rFont val="Tahoma"/>
            <family val="2"/>
          </rPr>
          <t xml:space="preserve">
</t>
        </r>
        <r>
          <rPr>
            <sz val="9"/>
            <color rgb="FF000000"/>
            <rFont val="Tahoma"/>
            <family val="2"/>
          </rPr>
          <t xml:space="preserve">Paid Account – start with the same year/column as you used for Year 1 ROE figures
</t>
        </r>
        <r>
          <rPr>
            <sz val="9"/>
            <color rgb="FF000000"/>
            <rFont val="Tahoma"/>
            <family val="2"/>
          </rPr>
          <t xml:space="preserve">
</t>
        </r>
        <r>
          <rPr>
            <sz val="9"/>
            <color rgb="FF000000"/>
            <rFont val="Tahoma"/>
            <family val="2"/>
          </rPr>
          <t xml:space="preserve">No dividend paid, record zero for the dividend payout ratio.
</t>
        </r>
        <r>
          <rPr>
            <sz val="9"/>
            <color rgb="FF000000"/>
            <rFont val="Tahoma"/>
            <family val="2"/>
          </rPr>
          <t xml:space="preserve">(If you can’t find the line “Dividend Payout Ratio” in GuruFocus, the company may not pay a Dividend. To confirm go to the “Dividend” tab. It will say for example “GOOGL does not pay a dividend”.)
</t>
        </r>
        <r>
          <rPr>
            <sz val="9"/>
            <color rgb="FF000000"/>
            <rFont val="Tahoma"/>
            <family val="2"/>
          </rPr>
          <t xml:space="preserve">
</t>
        </r>
        <r>
          <rPr>
            <b/>
            <sz val="9"/>
            <color rgb="FF000000"/>
            <rFont val="Tahoma"/>
            <family val="2"/>
          </rPr>
          <t>Exceptions:</t>
        </r>
        <r>
          <rPr>
            <sz val="9"/>
            <color rgb="FF000000"/>
            <rFont val="Tahoma"/>
            <family val="2"/>
          </rPr>
          <t xml:space="preserve">
</t>
        </r>
        <r>
          <rPr>
            <sz val="9"/>
            <color rgb="FF000000"/>
            <rFont val="Tahoma"/>
            <family val="2"/>
          </rPr>
          <t>If a very large dividend has been paid (like for some companies in 2017) you can normalise the figure to the average of the years either side.</t>
        </r>
        <r>
          <rPr>
            <b/>
            <sz val="9"/>
            <color rgb="FF000000"/>
            <rFont val="Tahoma"/>
            <family val="2"/>
          </rPr>
          <t xml:space="preserve">
</t>
        </r>
      </text>
    </comment>
    <comment ref="A14" authorId="1" shapeId="0" xr:uid="{903C3912-1619-3F48-B881-C82A4FFA5CAB}">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96E9F824-29C8-9C4C-8CB2-FED337300258}">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FF96B5C7-022F-C546-B278-430EF5D3AB5B}">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8AB4BB4A-BEEE-46C9-B380-8526A89197E7}">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4FE76E6D-F0E0-4F55-BD24-CFCFF52F8CA4}">
      <text>
        <r>
          <rPr>
            <b/>
            <sz val="9"/>
            <color indexed="81"/>
            <rFont val="Tahoma"/>
            <family val="2"/>
          </rPr>
          <t>Dividend Payout Ratio:</t>
        </r>
        <r>
          <rPr>
            <sz val="9"/>
            <color indexed="81"/>
            <rFont val="Tahoma"/>
            <family val="2"/>
          </rPr>
          <t xml:space="preserve">
Information from GuruFocus, “30-Y Financials” tab, “Ratios” section
Free Account - use TTM plus last 4 years.
Paid Account – start with the same year/column as you used for Year 1 ROE figures
No dividend paid, record zero for the dividend payout ratio.
(If you can’t find the line “Dividend Payout Ratio” in GuruFocus, the company may not pay a Dividend. To confirm go to the “Dividend” tab. It will say for example “GOOGL does not pay a dividend”.)
</t>
        </r>
        <r>
          <rPr>
            <b/>
            <sz val="9"/>
            <color indexed="81"/>
            <rFont val="Tahoma"/>
            <family val="2"/>
          </rPr>
          <t>Exceptions:</t>
        </r>
        <r>
          <rPr>
            <sz val="9"/>
            <color indexed="81"/>
            <rFont val="Tahoma"/>
            <family val="2"/>
          </rPr>
          <t xml:space="preserve">
If a very large dividend has been paid (like for some companies in 2017) you can normalise the figure to the average of the years either side.</t>
        </r>
        <r>
          <rPr>
            <b/>
            <sz val="9"/>
            <color indexed="81"/>
            <rFont val="Tahoma"/>
            <family val="2"/>
          </rPr>
          <t xml:space="preserve">
</t>
        </r>
      </text>
    </comment>
    <comment ref="A14" authorId="1" shapeId="0" xr:uid="{0C2A5C18-CA32-405B-B2C3-ACBE770EAC43}">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1EB3A133-F494-474E-B032-220BA38DE51C}">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C10C49C0-2D2D-4330-8060-10B22B0697FE}">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2EDBCBFD-56C0-E042-97FF-2B04482F66A2}">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2EC8927E-896E-5144-8E93-1863893EBBD9}">
      <text>
        <r>
          <rPr>
            <b/>
            <sz val="9"/>
            <color indexed="81"/>
            <rFont val="Tahoma"/>
            <family val="2"/>
          </rPr>
          <t>Dividend Payout Ratio:</t>
        </r>
        <r>
          <rPr>
            <sz val="9"/>
            <color indexed="81"/>
            <rFont val="Tahoma"/>
            <family val="2"/>
          </rPr>
          <t xml:space="preserve">
Information from GuruFocus, “30-Y Financials” tab, “Ratios” section
Free Account - use TTM plus last 4 years.
Paid Account – start with the same year/column as you used for Year 1 ROE figures
No dividend paid, record zero for the dividend payout ratio.
(If you can’t find the line “Dividend Payout Ratio” in GuruFocus, the company may not pay a Dividend. To confirm go to the “Dividend” tab. It will say for example “GOOGL does not pay a dividend”.)
</t>
        </r>
        <r>
          <rPr>
            <b/>
            <sz val="9"/>
            <color indexed="81"/>
            <rFont val="Tahoma"/>
            <family val="2"/>
          </rPr>
          <t>Exceptions:</t>
        </r>
        <r>
          <rPr>
            <sz val="9"/>
            <color indexed="81"/>
            <rFont val="Tahoma"/>
            <family val="2"/>
          </rPr>
          <t xml:space="preserve">
If a very large dividend has been paid (like for some companies in 2017) you can normalise the figure to the average of the years either side.</t>
        </r>
        <r>
          <rPr>
            <b/>
            <sz val="9"/>
            <color indexed="81"/>
            <rFont val="Tahoma"/>
            <family val="2"/>
          </rPr>
          <t xml:space="preserve">
</t>
        </r>
      </text>
    </comment>
    <comment ref="A14" authorId="1" shapeId="0" xr:uid="{26C109E7-6D8E-1042-BE31-BF28C3EBE5B6}">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801ED032-9474-CE4D-9196-763D45591BC7}">
      <text>
        <r>
          <rPr>
            <b/>
            <sz val="9"/>
            <color rgb="FF000000"/>
            <rFont val="Tahoma"/>
            <family val="2"/>
          </rPr>
          <t>Total Equity ($m)</t>
        </r>
        <r>
          <rPr>
            <sz val="9"/>
            <color rgb="FF000000"/>
            <rFont val="Tahoma"/>
            <family val="2"/>
          </rPr>
          <t xml:space="preserve">
</t>
        </r>
        <r>
          <rPr>
            <sz val="9"/>
            <color rgb="FF000000"/>
            <rFont val="Tahoma"/>
            <family val="2"/>
          </rPr>
          <t xml:space="preserve">
</t>
        </r>
        <r>
          <rPr>
            <sz val="9"/>
            <color rgb="FF000000"/>
            <rFont val="Tahoma"/>
            <family val="2"/>
          </rPr>
          <t xml:space="preserve">Information from GuruFocus, “30-Y Financials” tab, “Balance Sheet” section
</t>
        </r>
        <r>
          <rPr>
            <sz val="9"/>
            <color rgb="FF000000"/>
            <rFont val="Tahoma"/>
            <family val="2"/>
          </rPr>
          <t xml:space="preserve">
</t>
        </r>
        <r>
          <rPr>
            <sz val="9"/>
            <color rgb="FF000000"/>
            <rFont val="Tahoma"/>
            <family val="2"/>
          </rPr>
          <t xml:space="preserve">Free Account - use TTM 
</t>
        </r>
        <r>
          <rPr>
            <sz val="9"/>
            <color rgb="FF000000"/>
            <rFont val="Tahoma"/>
            <family val="2"/>
          </rPr>
          <t xml:space="preserve">
</t>
        </r>
        <r>
          <rPr>
            <sz val="9"/>
            <color rgb="FF000000"/>
            <rFont val="Tahoma"/>
            <family val="2"/>
          </rPr>
          <t xml:space="preserve">Paid Account – use latest years figures (same column that you used for Year 1 ROE figures)
</t>
        </r>
      </text>
    </comment>
    <comment ref="A16" authorId="0" shapeId="0" xr:uid="{912CD44F-3CEE-B041-8D15-6BEF4CEFD618}">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9563B7FB-1DBC-CF4B-8E92-0471A7305203}">
      <text>
        <r>
          <rPr>
            <b/>
            <sz val="9"/>
            <color rgb="FF000000"/>
            <rFont val="Tahoma"/>
            <family val="2"/>
          </rPr>
          <t xml:space="preserve">Return on Equity (%)
</t>
        </r>
        <r>
          <rPr>
            <b/>
            <sz val="9"/>
            <color rgb="FF000000"/>
            <rFont val="Tahoma"/>
            <family val="2"/>
          </rPr>
          <t xml:space="preserve">
</t>
        </r>
        <r>
          <rPr>
            <sz val="9"/>
            <color rgb="FF000000"/>
            <rFont val="Tahoma"/>
            <family val="2"/>
          </rPr>
          <t xml:space="preserve">Information from GuruFocus, “30-Y Finanicals” tab, “Ratios” section
</t>
        </r>
        <r>
          <rPr>
            <sz val="9"/>
            <color rgb="FF000000"/>
            <rFont val="Tahoma"/>
            <family val="2"/>
          </rPr>
          <t xml:space="preserve">
</t>
        </r>
        <r>
          <rPr>
            <sz val="9"/>
            <color rgb="FF000000"/>
            <rFont val="Tahoma"/>
            <family val="2"/>
          </rPr>
          <t xml:space="preserve">Free Account - use TTM plus last 4 years.
</t>
        </r>
        <r>
          <rPr>
            <sz val="9"/>
            <color rgb="FF000000"/>
            <rFont val="Tahoma"/>
            <family val="2"/>
          </rPr>
          <t xml:space="preserve">
</t>
        </r>
        <r>
          <rPr>
            <sz val="9"/>
            <color rgb="FF000000"/>
            <rFont val="Tahoma"/>
            <family val="2"/>
          </rPr>
          <t xml:space="preserve">Paid Account – use last 5 years figures, if next 6 months or more figures available use TTM plus last 4 years.
</t>
        </r>
        <r>
          <rPr>
            <sz val="9"/>
            <color rgb="FF000000"/>
            <rFont val="Tahoma"/>
            <family val="2"/>
          </rPr>
          <t xml:space="preserve">
</t>
        </r>
        <r>
          <rPr>
            <b/>
            <sz val="9"/>
            <color rgb="FF000000"/>
            <rFont val="Tahoma"/>
            <family val="2"/>
          </rPr>
          <t>Exceptions:</t>
        </r>
        <r>
          <rPr>
            <sz val="9"/>
            <color rgb="FF000000"/>
            <rFont val="Tahoma"/>
            <family val="2"/>
          </rPr>
          <t xml:space="preserve">
</t>
        </r>
        <r>
          <rPr>
            <sz val="9"/>
            <color rgb="FF000000"/>
            <rFont val="Tahoma"/>
            <family val="2"/>
          </rPr>
          <t xml:space="preserve">Valuation Calculator can only be used on companies with a history of profitability. If company has a history of negative ROE the company is overvalued at any price.
</t>
        </r>
        <r>
          <rPr>
            <sz val="9"/>
            <color rgb="FF000000"/>
            <rFont val="Tahoma"/>
            <family val="2"/>
          </rPr>
          <t xml:space="preserve">
</t>
        </r>
        <r>
          <rPr>
            <sz val="9"/>
            <color rgb="FF000000"/>
            <rFont val="Tahoma"/>
            <family val="2"/>
          </rPr>
          <t xml:space="preserve">Generally speaking we avoid companies with any negative ROE within the last 5 years.
</t>
        </r>
        <r>
          <rPr>
            <sz val="9"/>
            <color rgb="FF000000"/>
            <rFont val="Tahoma"/>
            <family val="2"/>
          </rPr>
          <t xml:space="preserve">
</t>
        </r>
        <r>
          <rPr>
            <sz val="9"/>
            <color rgb="FF000000"/>
            <rFont val="Tahoma"/>
            <family val="2"/>
          </rPr>
          <t xml:space="preserve">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r>
          <rPr>
            <sz val="9"/>
            <color rgb="FF000000"/>
            <rFont val="Tahoma"/>
            <family val="2"/>
          </rPr>
          <t xml:space="preserve">
</t>
        </r>
        <r>
          <rPr>
            <sz val="9"/>
            <color rgb="FF000000"/>
            <rFont val="Tahoma"/>
            <family val="2"/>
          </rPr>
          <t xml:space="preserve">
</t>
        </r>
      </text>
    </comment>
    <comment ref="A13" authorId="0" shapeId="0" xr:uid="{99F6C760-0EE3-C84B-983D-4F3B496765C8}">
      <text>
        <r>
          <rPr>
            <b/>
            <sz val="9"/>
            <color indexed="81"/>
            <rFont val="Tahoma"/>
            <family val="2"/>
          </rPr>
          <t>Dividend Payout Ratio:</t>
        </r>
        <r>
          <rPr>
            <sz val="9"/>
            <color indexed="81"/>
            <rFont val="Tahoma"/>
            <family val="2"/>
          </rPr>
          <t xml:space="preserve">
Information from GuruFocus, “30-Y Financials” tab, “Ratios” section
Free Account - use TTM plus last 4 years.
Paid Account – start with the same year/column as you used for Year 1 ROE figures
No dividend paid, record zero for the dividend payout ratio.
(If you can’t find the line “Dividend Payout Ratio” in GuruFocus, the company may not pay a Dividend. To confirm go to the “Dividend” tab. It will say for example “GOOGL does not pay a dividend”.)
</t>
        </r>
        <r>
          <rPr>
            <b/>
            <sz val="9"/>
            <color indexed="81"/>
            <rFont val="Tahoma"/>
            <family val="2"/>
          </rPr>
          <t>Exceptions:</t>
        </r>
        <r>
          <rPr>
            <sz val="9"/>
            <color indexed="81"/>
            <rFont val="Tahoma"/>
            <family val="2"/>
          </rPr>
          <t xml:space="preserve">
If a very large dividend has been paid (like for some companies in 2017) you can normalise the figure to the average of the years either side.</t>
        </r>
        <r>
          <rPr>
            <b/>
            <sz val="9"/>
            <color indexed="81"/>
            <rFont val="Tahoma"/>
            <family val="2"/>
          </rPr>
          <t xml:space="preserve">
</t>
        </r>
      </text>
    </comment>
    <comment ref="A14" authorId="1" shapeId="0" xr:uid="{521A4651-B194-7B4A-97CC-D535D83BDD64}">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73EC537B-1850-6841-9C3C-21A3B14894DF}">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C1CC7EDD-6062-CD47-A535-0E260C5355F0}">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DD9C0A6A-D5C8-BE4F-8095-160F51C45E7D}">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555844BC-8868-2048-872E-7A185929B2F5}">
      <text>
        <r>
          <rPr>
            <b/>
            <sz val="9"/>
            <color indexed="81"/>
            <rFont val="Tahoma"/>
            <family val="2"/>
          </rPr>
          <t>Dividend Payout Ratio:</t>
        </r>
        <r>
          <rPr>
            <sz val="9"/>
            <color indexed="81"/>
            <rFont val="Tahoma"/>
            <family val="2"/>
          </rPr>
          <t xml:space="preserve">
Information from GuruFocus, “30-Y Financials” tab, “Ratios” section
Free Account - use TTM plus last 4 years.
Paid Account – start with the same year/column as you used for Year 1 ROE figures
No dividend paid, record zero for the dividend payout ratio.
(If you can’t find the line “Dividend Payout Ratio” in GuruFocus, the company may not pay a Dividend. To confirm go to the “Dividend” tab. It will say for example “GOOGL does not pay a dividend”.)
</t>
        </r>
        <r>
          <rPr>
            <b/>
            <sz val="9"/>
            <color indexed="81"/>
            <rFont val="Tahoma"/>
            <family val="2"/>
          </rPr>
          <t>Exceptions:</t>
        </r>
        <r>
          <rPr>
            <sz val="9"/>
            <color indexed="81"/>
            <rFont val="Tahoma"/>
            <family val="2"/>
          </rPr>
          <t xml:space="preserve">
If a very large dividend has been paid (like for some companies in 2017) you can normalise the figure to the average of the years either side.</t>
        </r>
        <r>
          <rPr>
            <b/>
            <sz val="9"/>
            <color indexed="81"/>
            <rFont val="Tahoma"/>
            <family val="2"/>
          </rPr>
          <t xml:space="preserve">
</t>
        </r>
      </text>
    </comment>
    <comment ref="A14" authorId="1" shapeId="0" xr:uid="{B251F827-B727-6445-88F1-7F3EEB67ED6B}">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DE9C7CD6-CA6E-7746-97FC-6F25EDBDB80E}">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6EB2B22E-DCB8-EA48-8DF2-E34EEDEE78A3}">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32B433ED-5422-4EE2-9410-26929C8EFB2A}">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6A7D2FC5-535B-48A1-A687-A1D61ABCF747}">
      <text>
        <r>
          <rPr>
            <b/>
            <sz val="9"/>
            <color indexed="81"/>
            <rFont val="Tahoma"/>
            <family val="2"/>
          </rPr>
          <t>Dividend Payout Ratio:</t>
        </r>
        <r>
          <rPr>
            <sz val="9"/>
            <color indexed="81"/>
            <rFont val="Tahoma"/>
            <family val="2"/>
          </rPr>
          <t xml:space="preserve">
Information from GuruFocus, “30-Y Financials” tab, “Ratios” section
Free Account - use TTM plus last 4 years.
Paid Account – start with the same year/column as you used for Year 1 ROE figures
No dividend paid, record zero for the dividend payout ratio.
(If you can’t find the line “Dividend Payout Ratio” in GuruFocus, the company may not pay a Dividend. To confirm go to the “Dividend” tab. It will say for example “GOOGL does not pay a dividend”.)
</t>
        </r>
        <r>
          <rPr>
            <b/>
            <sz val="9"/>
            <color indexed="81"/>
            <rFont val="Tahoma"/>
            <family val="2"/>
          </rPr>
          <t>Exceptions:</t>
        </r>
        <r>
          <rPr>
            <sz val="9"/>
            <color indexed="81"/>
            <rFont val="Tahoma"/>
            <family val="2"/>
          </rPr>
          <t xml:space="preserve">
If a very large dividend has been paid (like for some companies in 2017) you can normalise the figure to the average of the years either side.</t>
        </r>
        <r>
          <rPr>
            <b/>
            <sz val="9"/>
            <color indexed="81"/>
            <rFont val="Tahoma"/>
            <family val="2"/>
          </rPr>
          <t xml:space="preserve">
</t>
        </r>
      </text>
    </comment>
    <comment ref="A14" authorId="1" shapeId="0" xr:uid="{9422F5C7-68DE-4CF2-BAD0-D7BEE17457A5}">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70CFFA92-2CE6-468C-95A6-DFC6DA6AD628}">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CCF57077-4F21-4796-AD59-9C5232B1F94C}">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E1854F19-066B-4BF4-8109-B077788C81BB}">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51A2B292-FE1B-43DF-8739-C30128522631}">
      <text>
        <r>
          <rPr>
            <b/>
            <sz val="9"/>
            <color rgb="FF000000"/>
            <rFont val="Tahoma"/>
            <family val="2"/>
          </rPr>
          <t>Dividend Payout Ratio:</t>
        </r>
        <r>
          <rPr>
            <sz val="9"/>
            <color rgb="FF000000"/>
            <rFont val="Tahoma"/>
            <family val="2"/>
          </rPr>
          <t xml:space="preserve">
</t>
        </r>
        <r>
          <rPr>
            <sz val="9"/>
            <color rgb="FF000000"/>
            <rFont val="Tahoma"/>
            <family val="2"/>
          </rPr>
          <t xml:space="preserve">
</t>
        </r>
        <r>
          <rPr>
            <sz val="9"/>
            <color rgb="FF000000"/>
            <rFont val="Tahoma"/>
            <family val="2"/>
          </rPr>
          <t xml:space="preserve">Information from GuruFocus, “30-Y Financials” tab, “Ratios” section
</t>
        </r>
        <r>
          <rPr>
            <sz val="9"/>
            <color rgb="FF000000"/>
            <rFont val="Tahoma"/>
            <family val="2"/>
          </rPr>
          <t xml:space="preserve">
</t>
        </r>
        <r>
          <rPr>
            <sz val="9"/>
            <color rgb="FF000000"/>
            <rFont val="Tahoma"/>
            <family val="2"/>
          </rPr>
          <t xml:space="preserve">Free Account - use TTM plus last 4 years.
</t>
        </r>
        <r>
          <rPr>
            <sz val="9"/>
            <color rgb="FF000000"/>
            <rFont val="Tahoma"/>
            <family val="2"/>
          </rPr>
          <t xml:space="preserve">
</t>
        </r>
        <r>
          <rPr>
            <sz val="9"/>
            <color rgb="FF000000"/>
            <rFont val="Tahoma"/>
            <family val="2"/>
          </rPr>
          <t xml:space="preserve">Paid Account – start with the same year/column as you used for Year 1 ROE figures
</t>
        </r>
        <r>
          <rPr>
            <sz val="9"/>
            <color rgb="FF000000"/>
            <rFont val="Tahoma"/>
            <family val="2"/>
          </rPr>
          <t xml:space="preserve">
</t>
        </r>
        <r>
          <rPr>
            <sz val="9"/>
            <color rgb="FF000000"/>
            <rFont val="Tahoma"/>
            <family val="2"/>
          </rPr>
          <t xml:space="preserve">No dividend paid, record zero for the dividend payout ratio.
</t>
        </r>
        <r>
          <rPr>
            <sz val="9"/>
            <color rgb="FF000000"/>
            <rFont val="Tahoma"/>
            <family val="2"/>
          </rPr>
          <t xml:space="preserve">(If you can’t find the line “Dividend Payout Ratio” in GuruFocus, the company may not pay a Dividend. To confirm go to the “Dividend” tab. It will say for example “GOOGL does not pay a dividend”.)
</t>
        </r>
        <r>
          <rPr>
            <sz val="9"/>
            <color rgb="FF000000"/>
            <rFont val="Tahoma"/>
            <family val="2"/>
          </rPr>
          <t xml:space="preserve">
</t>
        </r>
        <r>
          <rPr>
            <b/>
            <sz val="9"/>
            <color rgb="FF000000"/>
            <rFont val="Tahoma"/>
            <family val="2"/>
          </rPr>
          <t>Exceptions:</t>
        </r>
        <r>
          <rPr>
            <sz val="9"/>
            <color rgb="FF000000"/>
            <rFont val="Tahoma"/>
            <family val="2"/>
          </rPr>
          <t xml:space="preserve">
</t>
        </r>
        <r>
          <rPr>
            <sz val="9"/>
            <color rgb="FF000000"/>
            <rFont val="Tahoma"/>
            <family val="2"/>
          </rPr>
          <t>If a very large dividend has been paid (like for some companies in 2017) you can normalise the figure to the average of the years either side.</t>
        </r>
        <r>
          <rPr>
            <b/>
            <sz val="9"/>
            <color rgb="FF000000"/>
            <rFont val="Tahoma"/>
            <family val="2"/>
          </rPr>
          <t xml:space="preserve">
</t>
        </r>
      </text>
    </comment>
    <comment ref="A14" authorId="1" shapeId="0" xr:uid="{192A987A-84E0-4B1C-99C5-666F8EB3E040}">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B4C25824-E551-4CF0-AAD2-4B0F096CF70A}">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5D1AD96C-E867-4315-853E-069669B7B749}">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17B82EC2-3BFA-924F-AB98-2431FE0D6CA2}">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80F372D3-34B2-7B49-B854-58411DBDA18A}">
      <text>
        <r>
          <rPr>
            <b/>
            <sz val="9"/>
            <color indexed="81"/>
            <rFont val="Tahoma"/>
            <family val="2"/>
          </rPr>
          <t>Dividend Payout Ratio:</t>
        </r>
        <r>
          <rPr>
            <sz val="9"/>
            <color indexed="81"/>
            <rFont val="Tahoma"/>
            <family val="2"/>
          </rPr>
          <t xml:space="preserve">
Information from GuruFocus, “30-Y Financials” tab, “Ratios” section
Free Account - use TTM plus last 4 years.
Paid Account – start with the same year/column as you used for Year 1 ROE figures
No dividend paid, record zero for the dividend payout ratio.
(If you can’t find the line “Dividend Payout Ratio” in GuruFocus, the company may not pay a Dividend. To confirm go to the “Dividend” tab. It will say for example “GOOGL does not pay a dividend”.)
</t>
        </r>
        <r>
          <rPr>
            <b/>
            <sz val="9"/>
            <color indexed="81"/>
            <rFont val="Tahoma"/>
            <family val="2"/>
          </rPr>
          <t>Exceptions:</t>
        </r>
        <r>
          <rPr>
            <sz val="9"/>
            <color indexed="81"/>
            <rFont val="Tahoma"/>
            <family val="2"/>
          </rPr>
          <t xml:space="preserve">
If a very large dividend has been paid (like for some companies in 2017) you can normalise the figure to the average of the years either side.</t>
        </r>
        <r>
          <rPr>
            <b/>
            <sz val="9"/>
            <color indexed="81"/>
            <rFont val="Tahoma"/>
            <family val="2"/>
          </rPr>
          <t xml:space="preserve">
</t>
        </r>
      </text>
    </comment>
    <comment ref="A14" authorId="1" shapeId="0" xr:uid="{98415BE5-F90F-5A4D-9529-DCE525379809}">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640A168E-4529-EE4A-B938-2C6593D111BA}">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87199E7D-576F-A041-BD7D-9FE510B11FF5}">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23BED9CA-459C-4348-A2C6-6E991BA46F4C}">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1796DAD2-EF7A-48C6-ABF4-9ADF2E57FEB8}">
      <text>
        <r>
          <rPr>
            <b/>
            <sz val="9"/>
            <color indexed="81"/>
            <rFont val="Tahoma"/>
            <family val="2"/>
          </rPr>
          <t>Dividend Payout Ratio:</t>
        </r>
        <r>
          <rPr>
            <sz val="9"/>
            <color indexed="81"/>
            <rFont val="Tahoma"/>
            <family val="2"/>
          </rPr>
          <t xml:space="preserve">
Information from GuruFocus, “30-Y Financials” tab, “Ratios” section
Free Account - use TTM plus last 4 years.
Paid Account – start with the same year/column as you used for Year 1 ROE figures
No dividend paid, record zero for the dividend payout ratio.
(If you can’t find the line “Dividend Payout Ratio” in GuruFocus, the company may not pay a Dividend. To confirm go to the “Dividend” tab. It will say for example “GOOGL does not pay a dividend”.)
</t>
        </r>
        <r>
          <rPr>
            <b/>
            <sz val="9"/>
            <color indexed="81"/>
            <rFont val="Tahoma"/>
            <family val="2"/>
          </rPr>
          <t>Exceptions:</t>
        </r>
        <r>
          <rPr>
            <sz val="9"/>
            <color indexed="81"/>
            <rFont val="Tahoma"/>
            <family val="2"/>
          </rPr>
          <t xml:space="preserve">
If a very large dividend has been paid (like for some companies in 2017) you can normalise the figure to the average of the years either side.</t>
        </r>
        <r>
          <rPr>
            <b/>
            <sz val="9"/>
            <color indexed="81"/>
            <rFont val="Tahoma"/>
            <family val="2"/>
          </rPr>
          <t xml:space="preserve">
</t>
        </r>
      </text>
    </comment>
    <comment ref="A14" authorId="1" shapeId="0" xr:uid="{28E7E64E-4A58-4E22-86C8-E75D825C9EEF}">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960C3116-8D42-43A5-A101-D3CB3087E032}">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B57F83AA-F9E5-419F-BE69-B510F418EA45}">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7A170D50-9010-5A42-925D-1AFEB6542024}">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AD5C8C8F-766D-7442-9062-0B33D16342F0}">
      <text>
        <r>
          <rPr>
            <b/>
            <sz val="9"/>
            <color indexed="81"/>
            <rFont val="Tahoma"/>
            <family val="2"/>
          </rPr>
          <t>Dividend Payout Ratio:</t>
        </r>
        <r>
          <rPr>
            <sz val="9"/>
            <color indexed="81"/>
            <rFont val="Tahoma"/>
            <family val="2"/>
          </rPr>
          <t xml:space="preserve">
Information from GuruFocus, “30-Y Financials” tab, “Ratios” section
Free Account - use TTM plus last 4 years.
Paid Account – start with the same year/column as you used for Year 1 ROE figures
No dividend paid, record zero for the dividend payout ratio.
(If you can’t find the line “Dividend Payout Ratio” in GuruFocus, the company may not pay a Dividend. To confirm go to the “Dividend” tab. It will say for example “GOOGL does not pay a dividend”.)
</t>
        </r>
        <r>
          <rPr>
            <b/>
            <sz val="9"/>
            <color indexed="81"/>
            <rFont val="Tahoma"/>
            <family val="2"/>
          </rPr>
          <t>Exceptions:</t>
        </r>
        <r>
          <rPr>
            <sz val="9"/>
            <color indexed="81"/>
            <rFont val="Tahoma"/>
            <family val="2"/>
          </rPr>
          <t xml:space="preserve">
If a very large dividend has been paid (like for some companies in 2017) you can normalise the figure to the average of the years either side.</t>
        </r>
        <r>
          <rPr>
            <b/>
            <sz val="9"/>
            <color indexed="81"/>
            <rFont val="Tahoma"/>
            <family val="2"/>
          </rPr>
          <t xml:space="preserve">
</t>
        </r>
      </text>
    </comment>
    <comment ref="A14" authorId="1" shapeId="0" xr:uid="{1B88859A-5347-FF41-9BAD-3143D7818D2B}">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16C1F108-4220-D34C-AB77-A826921439B3}">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4A7324B9-D00C-6647-AB6B-D3DE131197A5}">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616F280E-EE07-7A45-844E-56AA1863C390}">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3B43833A-E340-8247-8D25-E87C25CAFBD0}">
      <text>
        <r>
          <rPr>
            <b/>
            <sz val="9"/>
            <color indexed="81"/>
            <rFont val="Tahoma"/>
            <family val="2"/>
          </rPr>
          <t>Dividend Payout Ratio:</t>
        </r>
        <r>
          <rPr>
            <sz val="9"/>
            <color indexed="81"/>
            <rFont val="Tahoma"/>
            <family val="2"/>
          </rPr>
          <t xml:space="preserve">
Information from GuruFocus, “30-Y Financials” tab, “Ratios” section
Free Account - use TTM plus last 4 years.
Paid Account – start with the same year/column as you used for Year 1 ROE figures
No dividend paid, record zero for the dividend payout ratio.
(If you can’t find the line “Dividend Payout Ratio” in GuruFocus, the company may not pay a Dividend. To confirm go to the “Dividend” tab. It will say for example “GOOGL does not pay a dividend”.)
</t>
        </r>
        <r>
          <rPr>
            <b/>
            <sz val="9"/>
            <color indexed="81"/>
            <rFont val="Tahoma"/>
            <family val="2"/>
          </rPr>
          <t>Exceptions:</t>
        </r>
        <r>
          <rPr>
            <sz val="9"/>
            <color indexed="81"/>
            <rFont val="Tahoma"/>
            <family val="2"/>
          </rPr>
          <t xml:space="preserve">
If a very large dividend has been paid (like for some companies in 2017) you can normalise the figure to the average of the years either side.</t>
        </r>
        <r>
          <rPr>
            <b/>
            <sz val="9"/>
            <color indexed="81"/>
            <rFont val="Tahoma"/>
            <family val="2"/>
          </rPr>
          <t xml:space="preserve">
</t>
        </r>
      </text>
    </comment>
    <comment ref="A14" authorId="1" shapeId="0" xr:uid="{953EB965-9601-FB40-AFC4-56930A3743E4}">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DDFE4681-C788-1141-AFCC-5E2D8BC66DDD}">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A7ED8E3B-D9BC-1F42-8442-AE51ABA895D1}">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9433397A-7063-7545-B98C-1055E9DB8261}">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00704F8B-4E5C-0243-800B-6A9B3BEBBC54}">
      <text>
        <r>
          <rPr>
            <b/>
            <sz val="9"/>
            <color indexed="81"/>
            <rFont val="Tahoma"/>
            <family val="2"/>
          </rPr>
          <t>Dividend Payout Ratio:</t>
        </r>
        <r>
          <rPr>
            <sz val="9"/>
            <color indexed="81"/>
            <rFont val="Tahoma"/>
            <family val="2"/>
          </rPr>
          <t xml:space="preserve">
Information from GuruFocus, “30-Y Financials” tab, “Ratios” section
Free Account - use TTM plus last 4 years.
Paid Account – start with the same year/column as you used for Year 1 ROE figures
No dividend paid, record zero for the dividend payout ratio.
(If you can’t find the line “Dividend Payout Ratio” in GuruFocus, the company may not pay a Dividend. To confirm go to the “Dividend” tab. It will say for example “GOOGL does not pay a dividend”.)
</t>
        </r>
        <r>
          <rPr>
            <b/>
            <sz val="9"/>
            <color indexed="81"/>
            <rFont val="Tahoma"/>
            <family val="2"/>
          </rPr>
          <t>Exceptions:</t>
        </r>
        <r>
          <rPr>
            <sz val="9"/>
            <color indexed="81"/>
            <rFont val="Tahoma"/>
            <family val="2"/>
          </rPr>
          <t xml:space="preserve">
If a very large dividend has been paid (like for some companies in 2017) you can normalise the figure to the average of the years either side.</t>
        </r>
        <r>
          <rPr>
            <b/>
            <sz val="9"/>
            <color indexed="81"/>
            <rFont val="Tahoma"/>
            <family val="2"/>
          </rPr>
          <t xml:space="preserve">
</t>
        </r>
      </text>
    </comment>
    <comment ref="A14" authorId="1" shapeId="0" xr:uid="{2BD3E491-FC21-DB43-ACF9-0FA345A56FAE}">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FBFCDF3F-5180-1447-90BD-3284FB84A20A}">
      <text>
        <r>
          <rPr>
            <b/>
            <sz val="9"/>
            <color rgb="FF000000"/>
            <rFont val="Tahoma"/>
            <family val="2"/>
          </rPr>
          <t>Total Equity ($m)</t>
        </r>
        <r>
          <rPr>
            <sz val="9"/>
            <color rgb="FF000000"/>
            <rFont val="Tahoma"/>
            <family val="2"/>
          </rPr>
          <t xml:space="preserve">
</t>
        </r>
        <r>
          <rPr>
            <sz val="9"/>
            <color rgb="FF000000"/>
            <rFont val="Tahoma"/>
            <family val="2"/>
          </rPr>
          <t xml:space="preserve">
</t>
        </r>
        <r>
          <rPr>
            <sz val="9"/>
            <color rgb="FF000000"/>
            <rFont val="Tahoma"/>
            <family val="2"/>
          </rPr>
          <t xml:space="preserve">Information from GuruFocus, “30-Y Financials” tab, “Balance Sheet” section
</t>
        </r>
        <r>
          <rPr>
            <sz val="9"/>
            <color rgb="FF000000"/>
            <rFont val="Tahoma"/>
            <family val="2"/>
          </rPr>
          <t xml:space="preserve">
</t>
        </r>
        <r>
          <rPr>
            <sz val="9"/>
            <color rgb="FF000000"/>
            <rFont val="Tahoma"/>
            <family val="2"/>
          </rPr>
          <t xml:space="preserve">Free Account - use TTM 
</t>
        </r>
        <r>
          <rPr>
            <sz val="9"/>
            <color rgb="FF000000"/>
            <rFont val="Tahoma"/>
            <family val="2"/>
          </rPr>
          <t xml:space="preserve">
</t>
        </r>
        <r>
          <rPr>
            <sz val="9"/>
            <color rgb="FF000000"/>
            <rFont val="Tahoma"/>
            <family val="2"/>
          </rPr>
          <t xml:space="preserve">Paid Account – use latest years figures (same column that you used for Year 1 ROE figures)
</t>
        </r>
      </text>
    </comment>
    <comment ref="A16" authorId="0" shapeId="0" xr:uid="{FC5D0A95-EAC3-C54C-A906-3FC3DE09911E}">
      <text>
        <r>
          <rPr>
            <b/>
            <sz val="9"/>
            <color rgb="FF000000"/>
            <rFont val="Tahoma"/>
            <family val="2"/>
          </rPr>
          <t>Shares Outstanding ($m)</t>
        </r>
        <r>
          <rPr>
            <sz val="9"/>
            <color rgb="FF000000"/>
            <rFont val="Tahoma"/>
            <family val="2"/>
          </rPr>
          <t xml:space="preserve">
</t>
        </r>
        <r>
          <rPr>
            <sz val="9"/>
            <color rgb="FF000000"/>
            <rFont val="Tahoma"/>
            <family val="2"/>
          </rPr>
          <t xml:space="preserve">
</t>
        </r>
        <r>
          <rPr>
            <sz val="9"/>
            <color rgb="FF000000"/>
            <rFont val="Tahoma"/>
            <family val="2"/>
          </rPr>
          <t xml:space="preserve">Information from GuruFocus
</t>
        </r>
        <r>
          <rPr>
            <sz val="9"/>
            <color rgb="FF000000"/>
            <rFont val="Tahoma"/>
            <family val="2"/>
          </rPr>
          <t xml:space="preserve">
</t>
        </r>
        <r>
          <rPr>
            <sz val="9"/>
            <color rgb="FF000000"/>
            <rFont val="Tahoma"/>
            <family val="2"/>
          </rPr>
          <t xml:space="preserve">Free Account – “Ownership” tab, and use the "Shares Outstanding" figure.
</t>
        </r>
        <r>
          <rPr>
            <sz val="9"/>
            <color rgb="FF000000"/>
            <rFont val="Tahoma"/>
            <family val="2"/>
          </rPr>
          <t xml:space="preserve">
</t>
        </r>
        <r>
          <rPr>
            <sz val="9"/>
            <color rgb="FF000000"/>
            <rFont val="Tahoma"/>
            <family val="2"/>
          </rPr>
          <t>Paid Account – “30-Y Financials” tab, “Valuation and Quality” section, and use the "Shares Outstanding (EOP)" figure.</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CEEE8550-A5AA-1C49-8D21-5763D22F08F0}">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0FCE3618-CDF9-EE4E-8C4D-A53FFD7C565B}">
      <text>
        <r>
          <rPr>
            <b/>
            <sz val="9"/>
            <color rgb="FF000000"/>
            <rFont val="Tahoma"/>
            <family val="2"/>
          </rPr>
          <t>Dividend Payout Ratio:</t>
        </r>
        <r>
          <rPr>
            <sz val="9"/>
            <color rgb="FF000000"/>
            <rFont val="Tahoma"/>
            <family val="2"/>
          </rPr>
          <t xml:space="preserve">
</t>
        </r>
        <r>
          <rPr>
            <sz val="9"/>
            <color rgb="FF000000"/>
            <rFont val="Tahoma"/>
            <family val="2"/>
          </rPr>
          <t xml:space="preserve">
</t>
        </r>
        <r>
          <rPr>
            <sz val="9"/>
            <color rgb="FF000000"/>
            <rFont val="Tahoma"/>
            <family val="2"/>
          </rPr>
          <t xml:space="preserve">Information from GuruFocus, “30-Y Financials” tab, “Ratios” section
</t>
        </r>
        <r>
          <rPr>
            <sz val="9"/>
            <color rgb="FF000000"/>
            <rFont val="Tahoma"/>
            <family val="2"/>
          </rPr>
          <t xml:space="preserve">
</t>
        </r>
        <r>
          <rPr>
            <sz val="9"/>
            <color rgb="FF000000"/>
            <rFont val="Tahoma"/>
            <family val="2"/>
          </rPr>
          <t xml:space="preserve">Free Account - use TTM plus last 4 years.
</t>
        </r>
        <r>
          <rPr>
            <sz val="9"/>
            <color rgb="FF000000"/>
            <rFont val="Tahoma"/>
            <family val="2"/>
          </rPr>
          <t xml:space="preserve">
</t>
        </r>
        <r>
          <rPr>
            <sz val="9"/>
            <color rgb="FF000000"/>
            <rFont val="Tahoma"/>
            <family val="2"/>
          </rPr>
          <t xml:space="preserve">Paid Account – start with the same year/column as you used for Year 1 ROE figures
</t>
        </r>
        <r>
          <rPr>
            <sz val="9"/>
            <color rgb="FF000000"/>
            <rFont val="Tahoma"/>
            <family val="2"/>
          </rPr>
          <t xml:space="preserve">
</t>
        </r>
        <r>
          <rPr>
            <sz val="9"/>
            <color rgb="FF000000"/>
            <rFont val="Tahoma"/>
            <family val="2"/>
          </rPr>
          <t xml:space="preserve">No dividend paid, record zero for the dividend payout ratio.
</t>
        </r>
        <r>
          <rPr>
            <sz val="9"/>
            <color rgb="FF000000"/>
            <rFont val="Tahoma"/>
            <family val="2"/>
          </rPr>
          <t xml:space="preserve">(If you can’t find the line “Dividend Payout Ratio” in GuruFocus, the company may not pay a Dividend. To confirm go to the “Dividend” tab. It will say for example “GOOGL does not pay a dividend”.)
</t>
        </r>
        <r>
          <rPr>
            <sz val="9"/>
            <color rgb="FF000000"/>
            <rFont val="Tahoma"/>
            <family val="2"/>
          </rPr>
          <t xml:space="preserve">
</t>
        </r>
        <r>
          <rPr>
            <b/>
            <sz val="9"/>
            <color rgb="FF000000"/>
            <rFont val="Tahoma"/>
            <family val="2"/>
          </rPr>
          <t>Exceptions:</t>
        </r>
        <r>
          <rPr>
            <sz val="9"/>
            <color rgb="FF000000"/>
            <rFont val="Tahoma"/>
            <family val="2"/>
          </rPr>
          <t xml:space="preserve">
</t>
        </r>
        <r>
          <rPr>
            <sz val="9"/>
            <color rgb="FF000000"/>
            <rFont val="Tahoma"/>
            <family val="2"/>
          </rPr>
          <t>If a very large dividend has been paid (like for some companies in 2017) you can normalise the figure to the average of the years either side.</t>
        </r>
        <r>
          <rPr>
            <b/>
            <sz val="9"/>
            <color rgb="FF000000"/>
            <rFont val="Tahoma"/>
            <family val="2"/>
          </rPr>
          <t xml:space="preserve">
</t>
        </r>
      </text>
    </comment>
    <comment ref="A14" authorId="1" shapeId="0" xr:uid="{26DF7496-2F31-6C4A-A579-71132E2620DB}">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8D6DEEDC-19C6-5C4B-82CD-973B390AAEBF}">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CC32839A-5A75-E64C-A327-55649CA7EBD2}">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A0924AF0-B900-C14E-AC39-FB944D7619B3}">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E9DE60B3-42E0-BE49-8B4A-43A54892D096}">
      <text>
        <r>
          <rPr>
            <b/>
            <sz val="9"/>
            <color indexed="81"/>
            <rFont val="Tahoma"/>
            <family val="2"/>
          </rPr>
          <t>Dividend Payout Ratio:</t>
        </r>
        <r>
          <rPr>
            <sz val="9"/>
            <color indexed="81"/>
            <rFont val="Tahoma"/>
            <family val="2"/>
          </rPr>
          <t xml:space="preserve">
Information from GuruFocus, “30-Y Financials” tab, “Ratios” section
Free Account - use TTM plus last 4 years.
Paid Account – start with the same year/column as you used for Year 1 ROE figures
No dividend paid, record zero for the dividend payout ratio.
(If you can’t find the line “Dividend Payout Ratio” in GuruFocus, the company may not pay a Dividend. To confirm go to the “Dividend” tab. It will say for example “GOOGL does not pay a dividend”.)
</t>
        </r>
        <r>
          <rPr>
            <b/>
            <sz val="9"/>
            <color indexed="81"/>
            <rFont val="Tahoma"/>
            <family val="2"/>
          </rPr>
          <t>Exceptions:</t>
        </r>
        <r>
          <rPr>
            <sz val="9"/>
            <color indexed="81"/>
            <rFont val="Tahoma"/>
            <family val="2"/>
          </rPr>
          <t xml:space="preserve">
If a very large dividend has been paid (like for some companies in 2017) you can normalise the figure to the average of the years either side.</t>
        </r>
        <r>
          <rPr>
            <b/>
            <sz val="9"/>
            <color indexed="81"/>
            <rFont val="Tahoma"/>
            <family val="2"/>
          </rPr>
          <t xml:space="preserve">
</t>
        </r>
      </text>
    </comment>
    <comment ref="A14" authorId="1" shapeId="0" xr:uid="{14F6F138-4006-AB46-A3D3-6D92AD8BD18D}">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F29D4069-9A59-4E45-A093-B622B7259B3B}">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82121E75-7AC9-544C-9427-DEF358B0B755}">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CE878BD6-5C68-944B-AC88-69E868DF2095}">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35A431AE-0C87-B749-8D33-C439D6865534}">
      <text>
        <r>
          <rPr>
            <b/>
            <sz val="9"/>
            <color indexed="81"/>
            <rFont val="Tahoma"/>
            <family val="2"/>
          </rPr>
          <t>Dividend Payout Ratio:</t>
        </r>
        <r>
          <rPr>
            <sz val="9"/>
            <color indexed="81"/>
            <rFont val="Tahoma"/>
            <family val="2"/>
          </rPr>
          <t xml:space="preserve">
Information from GuruFocus, “30-Y Financials” tab, “Ratios” section
Free Account - use TTM plus last 4 years.
Paid Account – start with the same year/column as you used for Year 1 ROE figures
No dividend paid, record zero for the dividend payout ratio.
(If you can’t find the line “Dividend Payout Ratio” in GuruFocus, the company may not pay a Dividend. To confirm go to the “Dividend” tab. It will say for example “GOOGL does not pay a dividend”.)
</t>
        </r>
        <r>
          <rPr>
            <b/>
            <sz val="9"/>
            <color indexed="81"/>
            <rFont val="Tahoma"/>
            <family val="2"/>
          </rPr>
          <t>Exceptions:</t>
        </r>
        <r>
          <rPr>
            <sz val="9"/>
            <color indexed="81"/>
            <rFont val="Tahoma"/>
            <family val="2"/>
          </rPr>
          <t xml:space="preserve">
If a very large dividend has been paid (like for some companies in 2017) you can normalise the figure to the average of the years either side.</t>
        </r>
        <r>
          <rPr>
            <b/>
            <sz val="9"/>
            <color indexed="81"/>
            <rFont val="Tahoma"/>
            <family val="2"/>
          </rPr>
          <t xml:space="preserve">
</t>
        </r>
      </text>
    </comment>
    <comment ref="A14" authorId="1" shapeId="0" xr:uid="{182530A2-7037-BF4B-B88E-94D54A059091}">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FDAE02F4-C4B1-2347-B27F-F5E7724695EC}">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C51FECAB-9487-7B40-A1A3-02CD4327E9CB}">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DE4D23A8-FCDA-5743-B24B-A449E34CF253}">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F74E020B-8A61-BF4C-8B0E-844EFA868AAC}">
      <text>
        <r>
          <rPr>
            <b/>
            <sz val="9"/>
            <color rgb="FF000000"/>
            <rFont val="Tahoma"/>
            <family val="2"/>
          </rPr>
          <t>Dividend Payout Ratio:</t>
        </r>
        <r>
          <rPr>
            <sz val="9"/>
            <color rgb="FF000000"/>
            <rFont val="Tahoma"/>
            <family val="2"/>
          </rPr>
          <t xml:space="preserve">
</t>
        </r>
        <r>
          <rPr>
            <sz val="9"/>
            <color rgb="FF000000"/>
            <rFont val="Tahoma"/>
            <family val="2"/>
          </rPr>
          <t xml:space="preserve">
</t>
        </r>
        <r>
          <rPr>
            <sz val="9"/>
            <color rgb="FF000000"/>
            <rFont val="Tahoma"/>
            <family val="2"/>
          </rPr>
          <t xml:space="preserve">Information from GuruFocus, “30-Y Financials” tab, “Ratios” section
</t>
        </r>
        <r>
          <rPr>
            <sz val="9"/>
            <color rgb="FF000000"/>
            <rFont val="Tahoma"/>
            <family val="2"/>
          </rPr>
          <t xml:space="preserve">
</t>
        </r>
        <r>
          <rPr>
            <sz val="9"/>
            <color rgb="FF000000"/>
            <rFont val="Tahoma"/>
            <family val="2"/>
          </rPr>
          <t xml:space="preserve">Free Account - use TTM plus last 4 years.
</t>
        </r>
        <r>
          <rPr>
            <sz val="9"/>
            <color rgb="FF000000"/>
            <rFont val="Tahoma"/>
            <family val="2"/>
          </rPr>
          <t xml:space="preserve">
</t>
        </r>
        <r>
          <rPr>
            <sz val="9"/>
            <color rgb="FF000000"/>
            <rFont val="Tahoma"/>
            <family val="2"/>
          </rPr>
          <t xml:space="preserve">Paid Account – start with the same year/column as you used for Year 1 ROE figures
</t>
        </r>
        <r>
          <rPr>
            <sz val="9"/>
            <color rgb="FF000000"/>
            <rFont val="Tahoma"/>
            <family val="2"/>
          </rPr>
          <t xml:space="preserve">
</t>
        </r>
        <r>
          <rPr>
            <sz val="9"/>
            <color rgb="FF000000"/>
            <rFont val="Tahoma"/>
            <family val="2"/>
          </rPr>
          <t xml:space="preserve">No dividend paid, record zero for the dividend payout ratio.
</t>
        </r>
        <r>
          <rPr>
            <sz val="9"/>
            <color rgb="FF000000"/>
            <rFont val="Tahoma"/>
            <family val="2"/>
          </rPr>
          <t xml:space="preserve">(If you can’t find the line “Dividend Payout Ratio” in GuruFocus, the company may not pay a Dividend. To confirm go to the “Dividend” tab. It will say for example “GOOGL does not pay a dividend”.)
</t>
        </r>
        <r>
          <rPr>
            <sz val="9"/>
            <color rgb="FF000000"/>
            <rFont val="Tahoma"/>
            <family val="2"/>
          </rPr>
          <t xml:space="preserve">
</t>
        </r>
        <r>
          <rPr>
            <b/>
            <sz val="9"/>
            <color rgb="FF000000"/>
            <rFont val="Tahoma"/>
            <family val="2"/>
          </rPr>
          <t>Exceptions:</t>
        </r>
        <r>
          <rPr>
            <sz val="9"/>
            <color rgb="FF000000"/>
            <rFont val="Tahoma"/>
            <family val="2"/>
          </rPr>
          <t xml:space="preserve">
</t>
        </r>
        <r>
          <rPr>
            <sz val="9"/>
            <color rgb="FF000000"/>
            <rFont val="Tahoma"/>
            <family val="2"/>
          </rPr>
          <t>If a very large dividend has been paid (like for some companies in 2017) you can normalise the figure to the average of the years either side.</t>
        </r>
        <r>
          <rPr>
            <b/>
            <sz val="9"/>
            <color rgb="FF000000"/>
            <rFont val="Tahoma"/>
            <family val="2"/>
          </rPr>
          <t xml:space="preserve">
</t>
        </r>
      </text>
    </comment>
    <comment ref="A14" authorId="1" shapeId="0" xr:uid="{0C421291-DE08-0447-8CBE-885A26EF6AA2}">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CA2023AB-C0C0-BC4C-B95F-E66DD51A0647}">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84BC0122-4BD8-1441-B81A-46053B93944A}">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441B5BD4-5E5E-9E43-A80F-C68755DAB7CE}">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60DEC2D2-5295-844E-A860-7675BE2B9785}">
      <text>
        <r>
          <rPr>
            <b/>
            <sz val="9"/>
            <color indexed="81"/>
            <rFont val="Tahoma"/>
            <family val="2"/>
          </rPr>
          <t>Dividend Payout Ratio:</t>
        </r>
        <r>
          <rPr>
            <sz val="9"/>
            <color indexed="81"/>
            <rFont val="Tahoma"/>
            <family val="2"/>
          </rPr>
          <t xml:space="preserve">
Information from GuruFocus, “30-Y Financials” tab, “Ratios” section
Free Account - use TTM plus last 4 years.
Paid Account – start with the same year/column as you used for Year 1 ROE figures
No dividend paid, record zero for the dividend payout ratio.
(If you can’t find the line “Dividend Payout Ratio” in GuruFocus, the company may not pay a Dividend. To confirm go to the “Dividend” tab. It will say for example “GOOGL does not pay a dividend”.)
</t>
        </r>
        <r>
          <rPr>
            <b/>
            <sz val="9"/>
            <color indexed="81"/>
            <rFont val="Tahoma"/>
            <family val="2"/>
          </rPr>
          <t>Exceptions:</t>
        </r>
        <r>
          <rPr>
            <sz val="9"/>
            <color indexed="81"/>
            <rFont val="Tahoma"/>
            <family val="2"/>
          </rPr>
          <t xml:space="preserve">
If a very large dividend has been paid (like for some companies in 2017) you can normalise the figure to the average of the years either side.</t>
        </r>
        <r>
          <rPr>
            <b/>
            <sz val="9"/>
            <color indexed="81"/>
            <rFont val="Tahoma"/>
            <family val="2"/>
          </rPr>
          <t xml:space="preserve">
</t>
        </r>
      </text>
    </comment>
    <comment ref="A14" authorId="1" shapeId="0" xr:uid="{1F84E653-4E12-A04C-BE05-221FF24F60FD}">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523911EC-2F45-884E-91DD-7EEE9A0F8821}">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26AF8191-28ED-884F-8F1A-28DD586B810D}">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CB8512F1-B7CF-6442-AF29-0562D95197AD}">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2C05CFCB-FD4C-994A-9FCE-7C2E90E99701}">
      <text>
        <r>
          <rPr>
            <b/>
            <sz val="9"/>
            <color rgb="FF000000"/>
            <rFont val="Tahoma"/>
            <family val="2"/>
          </rPr>
          <t>Dividend Payout Ratio:</t>
        </r>
        <r>
          <rPr>
            <sz val="9"/>
            <color rgb="FF000000"/>
            <rFont val="Tahoma"/>
            <family val="2"/>
          </rPr>
          <t xml:space="preserve">
</t>
        </r>
        <r>
          <rPr>
            <sz val="9"/>
            <color rgb="FF000000"/>
            <rFont val="Tahoma"/>
            <family val="2"/>
          </rPr>
          <t xml:space="preserve">
</t>
        </r>
        <r>
          <rPr>
            <sz val="9"/>
            <color rgb="FF000000"/>
            <rFont val="Tahoma"/>
            <family val="2"/>
          </rPr>
          <t xml:space="preserve">Information from GuruFocus, “30-Y Financials” tab, “Ratios” section
</t>
        </r>
        <r>
          <rPr>
            <sz val="9"/>
            <color rgb="FF000000"/>
            <rFont val="Tahoma"/>
            <family val="2"/>
          </rPr>
          <t xml:space="preserve">
</t>
        </r>
        <r>
          <rPr>
            <sz val="9"/>
            <color rgb="FF000000"/>
            <rFont val="Tahoma"/>
            <family val="2"/>
          </rPr>
          <t xml:space="preserve">Free Account - use TTM plus last 4 years.
</t>
        </r>
        <r>
          <rPr>
            <sz val="9"/>
            <color rgb="FF000000"/>
            <rFont val="Tahoma"/>
            <family val="2"/>
          </rPr>
          <t xml:space="preserve">
</t>
        </r>
        <r>
          <rPr>
            <sz val="9"/>
            <color rgb="FF000000"/>
            <rFont val="Tahoma"/>
            <family val="2"/>
          </rPr>
          <t xml:space="preserve">Paid Account – start with the same year/column as you used for Year 1 ROE figures
</t>
        </r>
        <r>
          <rPr>
            <sz val="9"/>
            <color rgb="FF000000"/>
            <rFont val="Tahoma"/>
            <family val="2"/>
          </rPr>
          <t xml:space="preserve">
</t>
        </r>
        <r>
          <rPr>
            <sz val="9"/>
            <color rgb="FF000000"/>
            <rFont val="Tahoma"/>
            <family val="2"/>
          </rPr>
          <t xml:space="preserve">No dividend paid, record zero for the dividend payout ratio.
</t>
        </r>
        <r>
          <rPr>
            <sz val="9"/>
            <color rgb="FF000000"/>
            <rFont val="Tahoma"/>
            <family val="2"/>
          </rPr>
          <t xml:space="preserve">(If you can’t find the line “Dividend Payout Ratio” in GuruFocus, the company may not pay a Dividend. To confirm go to the “Dividend” tab. It will say for example “GOOGL does not pay a dividend”.)
</t>
        </r>
        <r>
          <rPr>
            <sz val="9"/>
            <color rgb="FF000000"/>
            <rFont val="Tahoma"/>
            <family val="2"/>
          </rPr>
          <t xml:space="preserve">
</t>
        </r>
        <r>
          <rPr>
            <b/>
            <sz val="9"/>
            <color rgb="FF000000"/>
            <rFont val="Tahoma"/>
            <family val="2"/>
          </rPr>
          <t>Exceptions:</t>
        </r>
        <r>
          <rPr>
            <sz val="9"/>
            <color rgb="FF000000"/>
            <rFont val="Tahoma"/>
            <family val="2"/>
          </rPr>
          <t xml:space="preserve">
</t>
        </r>
        <r>
          <rPr>
            <sz val="9"/>
            <color rgb="FF000000"/>
            <rFont val="Tahoma"/>
            <family val="2"/>
          </rPr>
          <t>If a very large dividend has been paid (like for some companies in 2017) you can normalise the figure to the average of the years either side.</t>
        </r>
        <r>
          <rPr>
            <b/>
            <sz val="9"/>
            <color rgb="FF000000"/>
            <rFont val="Tahoma"/>
            <family val="2"/>
          </rPr>
          <t xml:space="preserve">
</t>
        </r>
      </text>
    </comment>
    <comment ref="A14" authorId="1" shapeId="0" xr:uid="{F28E2738-9815-9D4F-8FC7-60231CFE70FE}">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D43F8177-9E7A-1942-B5A5-4F708973997A}">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DF58EC9E-CA91-3B4C-9BA3-2904D4B87C83}">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Tricia Butler</author>
    <author>Terry Tran</author>
  </authors>
  <commentList>
    <comment ref="A12" authorId="0" shapeId="0" xr:uid="{E93AC135-1D91-A94E-8BDE-B5C7D369AAF2}">
      <text>
        <r>
          <rPr>
            <b/>
            <sz val="9"/>
            <color indexed="81"/>
            <rFont val="Tahoma"/>
            <family val="2"/>
          </rPr>
          <t xml:space="preserve">Return on Equity (%)
</t>
        </r>
        <r>
          <rPr>
            <sz val="9"/>
            <color indexed="81"/>
            <rFont val="Tahoma"/>
            <family val="2"/>
          </rPr>
          <t xml:space="preserve">Information from GuruFocus, “30-Y Finanicals” tab, “Ratios” section
Free Account - use TTM plus last 4 years.
Paid Account – use last 5 years figures, if next 6 months or more figures available use TTM plus last 4 years.
</t>
        </r>
        <r>
          <rPr>
            <b/>
            <sz val="9"/>
            <color indexed="81"/>
            <rFont val="Tahoma"/>
            <family val="2"/>
          </rPr>
          <t>Exceptions:</t>
        </r>
        <r>
          <rPr>
            <sz val="9"/>
            <color indexed="81"/>
            <rFont val="Tahoma"/>
            <family val="2"/>
          </rPr>
          <t xml:space="preserve">
Valuation Calculator can only be used on companies with a history of profitability. If company has a history of negative ROE the company is overvalued at any price.
Generally speaking we avoid companies with any negative ROE within the last 5 years.
The exception is if a company has had a once-off negative year, say for major restructuring or tax incentives such as what occurred in 2017 (both events are unlikely to happen again and are not part of normal business), you can normalize the year by taking the average of the years on either side.
</t>
        </r>
      </text>
    </comment>
    <comment ref="A13" authorId="0" shapeId="0" xr:uid="{E339BFED-7EA8-084F-9ADE-C81A871A05B5}">
      <text>
        <r>
          <rPr>
            <b/>
            <sz val="9"/>
            <color indexed="81"/>
            <rFont val="Tahoma"/>
            <family val="2"/>
          </rPr>
          <t>Dividend Payout Ratio:</t>
        </r>
        <r>
          <rPr>
            <sz val="9"/>
            <color indexed="81"/>
            <rFont val="Tahoma"/>
            <family val="2"/>
          </rPr>
          <t xml:space="preserve">
Information from GuruFocus, “30-Y Financials” tab, “Ratios” section
Free Account - use TTM plus last 4 years.
Paid Account – start with the same year/column as you used for Year 1 ROE figures
No dividend paid, record zero for the dividend payout ratio.
(If you can’t find the line “Dividend Payout Ratio” in GuruFocus, the company may not pay a Dividend. To confirm go to the “Dividend” tab. It will say for example “GOOGL does not pay a dividend”.)
</t>
        </r>
        <r>
          <rPr>
            <b/>
            <sz val="9"/>
            <color indexed="81"/>
            <rFont val="Tahoma"/>
            <family val="2"/>
          </rPr>
          <t>Exceptions:</t>
        </r>
        <r>
          <rPr>
            <sz val="9"/>
            <color indexed="81"/>
            <rFont val="Tahoma"/>
            <family val="2"/>
          </rPr>
          <t xml:space="preserve">
If a very large dividend has been paid (like for some companies in 2017) you can normalise the figure to the average of the years either side.</t>
        </r>
        <r>
          <rPr>
            <b/>
            <sz val="9"/>
            <color indexed="81"/>
            <rFont val="Tahoma"/>
            <family val="2"/>
          </rPr>
          <t xml:space="preserve">
</t>
        </r>
      </text>
    </comment>
    <comment ref="A14" authorId="1" shapeId="0" xr:uid="{E5E6EAA5-A733-6E44-ABAC-CD11C4FA07D2}">
      <text>
        <r>
          <rPr>
            <b/>
            <sz val="9"/>
            <color indexed="81"/>
            <rFont val="Tahoma"/>
            <family val="2"/>
          </rPr>
          <t>Required Return</t>
        </r>
        <r>
          <rPr>
            <sz val="9"/>
            <color indexed="81"/>
            <rFont val="Tahoma"/>
            <family val="2"/>
          </rPr>
          <t xml:space="preserve">
Risk Free Rate +
Equity Risk Premium +
Company Specific Premium or Discount
Required Return - set at a minimum of 10%
Higher Risk Stocks for example airlines or mining etc. put up to 12% or 15%</t>
        </r>
      </text>
    </comment>
    <comment ref="A15" authorId="0" shapeId="0" xr:uid="{0F1C96C8-FE32-9244-A6FD-AF8A9E66576A}">
      <text>
        <r>
          <rPr>
            <b/>
            <sz val="9"/>
            <color indexed="81"/>
            <rFont val="Tahoma"/>
            <family val="2"/>
          </rPr>
          <t>Total Equity ($m)</t>
        </r>
        <r>
          <rPr>
            <sz val="9"/>
            <color indexed="81"/>
            <rFont val="Tahoma"/>
            <family val="2"/>
          </rPr>
          <t xml:space="preserve">
Information from GuruFocus, “30-Y Financials” tab, “Balance Sheet” section
Free Account - use TTM 
Paid Account – use latest years figures (same column that you used for Year 1 ROE figures)
</t>
        </r>
      </text>
    </comment>
    <comment ref="A16" authorId="0" shapeId="0" xr:uid="{B7788DDB-A2BB-2144-96B5-E6DB78BFDBEC}">
      <text>
        <r>
          <rPr>
            <b/>
            <sz val="9"/>
            <color indexed="81"/>
            <rFont val="Tahoma"/>
            <family val="2"/>
          </rPr>
          <t>Shares Outstanding ($m)</t>
        </r>
        <r>
          <rPr>
            <sz val="9"/>
            <color indexed="81"/>
            <rFont val="Tahoma"/>
            <family val="2"/>
          </rPr>
          <t xml:space="preserve">
Information from GuruFocus
Free Account – “Ownership” tab, and use the "Shares Outstanding" figure.
Paid Account – “30-Y Financials” tab, “Valuation and Quality” section, and use the "Shares Outstanding (EOP)" figure.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<sst xmlns="http://schemas.openxmlformats.org/spreadsheetml/2006/main" count="813" uniqueCount="56">
  <si>
    <t>Stock Valuation Calculator</t>
  </si>
  <si>
    <t>Stock Code</t>
  </si>
  <si>
    <t>Current Stock Price</t>
  </si>
  <si>
    <t>Year 1 (latest)</t>
  </si>
  <si>
    <t>Year 2</t>
  </si>
  <si>
    <t>Year 3</t>
  </si>
  <si>
    <t>Year 4</t>
  </si>
  <si>
    <t>Year 5</t>
  </si>
  <si>
    <t>Return on Equity (%)</t>
  </si>
  <si>
    <t>Required Return</t>
  </si>
  <si>
    <t>Average</t>
  </si>
  <si>
    <t>Median</t>
  </si>
  <si>
    <t>MOS 10% disc</t>
  </si>
  <si>
    <t>Normalised ROE (%)</t>
  </si>
  <si>
    <t>Distributed (%)</t>
  </si>
  <si>
    <t>Reinvested (%)</t>
  </si>
  <si>
    <t>Equity Per Share</t>
  </si>
  <si>
    <t>Equity Multiplier</t>
  </si>
  <si>
    <t>Valuation ($)</t>
  </si>
  <si>
    <t>Discount/Overvalued (%)</t>
  </si>
  <si>
    <t>Date</t>
  </si>
  <si>
    <t>Dividend Payout Ratio</t>
  </si>
  <si>
    <t>Date Last Updated</t>
  </si>
  <si>
    <t>Valuation
Average</t>
  </si>
  <si>
    <t>Valuation
Median</t>
  </si>
  <si>
    <t>Valuation
MOS 10% disc</t>
  </si>
  <si>
    <t>Shares Outstanding (M)</t>
  </si>
  <si>
    <t>Total Equity ($M)</t>
  </si>
  <si>
    <t>Valuation Assessment:</t>
  </si>
  <si>
    <t>Valuation
Assesment</t>
  </si>
  <si>
    <t>ASML</t>
  </si>
  <si>
    <t>COST</t>
  </si>
  <si>
    <t>GOOGL</t>
  </si>
  <si>
    <t>GRMN</t>
  </si>
  <si>
    <t>MNST</t>
  </si>
  <si>
    <t>MSFT</t>
  </si>
  <si>
    <t>QCOM</t>
  </si>
  <si>
    <t>UNLR</t>
  </si>
  <si>
    <t>CMCSA</t>
  </si>
  <si>
    <t>NKE</t>
  </si>
  <si>
    <t>ADBE</t>
  </si>
  <si>
    <t>GIS</t>
  </si>
  <si>
    <t>CTSH</t>
  </si>
  <si>
    <t>NYT</t>
  </si>
  <si>
    <t>BMI</t>
  </si>
  <si>
    <t>AOS</t>
  </si>
  <si>
    <t>MZTI</t>
  </si>
  <si>
    <t>CAN</t>
  </si>
  <si>
    <t>NTES</t>
  </si>
  <si>
    <t>INFY</t>
  </si>
  <si>
    <t>RMD</t>
  </si>
  <si>
    <t>GGG</t>
  </si>
  <si>
    <t>.X (2)</t>
  </si>
  <si>
    <t>.X (3)</t>
  </si>
  <si>
    <t>PRDO</t>
  </si>
  <si>
    <t>VRTX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</si>
</sst>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5" formatCode="&quot;$&quot;#,##0_);\(&quot;$&quot;#,##0\)"/>
    <numFmt numFmtId="8" formatCode="&quot;$&quot;#,##0.00_);[Red]\(&quot;$&quot;#,##0.00\)"/>
    <numFmt numFmtId="44" formatCode="_(&quot;$&quot;* #,##0.00_);_(&quot;$&quot;* \(#,##0.00\);_(&quot;$&quot;* &quot;-&quot;??_);_(@_)"/>
    <numFmt numFmtId="43" formatCode="_(* #,##0.00_);_(* \(#,##0.00\);_(* &quot;-&quot;??_);_(@_)"/>
    <numFmt numFmtId="164" formatCode="&quot;$&quot;#,##0.00"/>
    <numFmt numFmtId="165" formatCode="[$-409]d\-mmm\-yy;@"/>
    <numFmt numFmtId="166" formatCode=";;;"/>
    <numFmt numFmtId="167" formatCode="0.00%;\-0.00%"/>
    <numFmt numFmtId="168" formatCode="0.00;\-0.00"/>
    <numFmt numFmtId="169" formatCode="&quot;$&quot;0.00;\-&quot;$&quot;0.00"/>
    <numFmt numFmtId="170" formatCode="_(* #,##0_);_(* \(#,##0\);_(* &quot;-&quot;??_);_(@_)"/>
  </numFmts>
  <fonts count="18"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2"/>
      <color theme="1"/>
      <name val="Calibri"/>
      <family val="2"/>
      <scheme val="minor"/>
    </font>
    <font>
      <b/>
      <sz val="14"/>
      <color theme="1"/>
      <name val="Calibri"/>
      <family val="2"/>
      <scheme val="minor"/>
    </font>
    <font>
      <b/>
      <sz val="12"/>
      <color theme="1"/>
      <name val="Calibri"/>
      <family val="2"/>
      <scheme val="minor"/>
    </font>
    <font>
      <b/>
      <sz val="9"/>
      <color indexed="81"/>
      <name val="Tahoma"/>
      <family val="2"/>
    </font>
    <font>
      <sz val="9"/>
      <color indexed="81"/>
      <name val="Tahoma"/>
      <family val="2"/>
    </font>
    <font>
      <b/>
      <sz val="11"/>
      <color theme="0"/>
      <name val="Calibri"/>
      <family val="2"/>
      <scheme val="minor"/>
    </font>
    <font>
      <b/>
      <sz val="12"/>
      <color rgb="FF000000"/>
      <name val="Calibri"/>
      <family val="2"/>
    </font>
    <font>
      <sz val="11"/>
      <color theme="0"/>
      <name val="Calibri"/>
      <family val="2"/>
      <scheme val="minor"/>
    </font>
    <font>
      <u/>
      <sz val="11"/>
      <color rgb="FF007BF6"/>
      <name val="Calibri"/>
      <family val="2"/>
      <scheme val="minor"/>
    </font>
    <font>
      <b/>
      <u/>
      <sz val="11"/>
      <color rgb="FF0070C0"/>
      <name val="Calibri"/>
      <family val="2"/>
      <scheme val="minor"/>
    </font>
    <font>
      <b/>
      <sz val="9"/>
      <color rgb="FF000000"/>
      <name val="Tahoma"/>
      <family val="2"/>
    </font>
    <font>
      <sz val="9"/>
      <color rgb="FF000000"/>
      <name val="Tahoma"/>
      <family val="2"/>
    </font>
  </fonts>
  <fills count="5">
    <fill>
      <patternFill patternType="none"/>
    </fill>
    <fill>
      <patternFill patternType="gray125"/>
    </fill>
    <fill>
      <patternFill patternType="solid">
        <fgColor theme="2"/>
        <bgColor indexed="64"/>
      </patternFill>
    </fill>
    <fill>
      <patternFill patternType="solid">
        <fgColor theme="4" tint="0.79998168889431442"/>
        <bgColor indexed="64"/>
      </patternFill>
    </fill>
    <fill>
      <patternFill patternType="solid">
        <fgColor theme="4" tint="0.39997558519241921"/>
        <bgColor indexed="64"/>
      </patternFill>
    </fill>
  </fills>
  <borders count="28">
    <border>
      <left/>
      <right/>
      <top/>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style="thin">
        <color theme="0" tint="-0.24994659260841701"/>
      </top>
      <bottom style="thin">
        <color indexed="64"/>
      </bottom>
      <diagonal/>
    </border>
    <border>
      <left/>
      <right/>
      <top style="thin">
        <color indexed="64"/>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top style="thin">
        <color indexed="64"/>
      </top>
      <bottom style="thin">
        <color theme="0" tint="-0.24994659260841701"/>
      </bottom>
      <diagonal/>
    </border>
    <border>
      <left style="thin">
        <color theme="0" tint="-0.24994659260841701"/>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style="medium">
        <color theme="0"/>
      </left>
      <right/>
      <top/>
      <bottom style="medium">
        <color theme="0"/>
      </bottom>
      <diagonal/>
    </border>
    <border>
      <left style="thin">
        <color theme="0" tint="-0.24994659260841701"/>
      </left>
      <right style="thin">
        <color theme="0"/>
      </right>
      <top style="thin">
        <color theme="0" tint="-0.24994659260841701"/>
      </top>
      <bottom style="thin">
        <color indexed="64"/>
      </bottom>
      <diagonal/>
    </border>
    <border>
      <left style="thin">
        <color theme="0"/>
      </left>
      <right style="thin">
        <color theme="0"/>
      </right>
      <top style="thin">
        <color theme="0" tint="-0.24994659260841701"/>
      </top>
      <bottom style="thin">
        <color indexed="64"/>
      </bottom>
      <diagonal/>
    </border>
    <border>
      <left style="thin">
        <color theme="0"/>
      </left>
      <right/>
      <top style="thin">
        <color theme="0" tint="-0.24994659260841701"/>
      </top>
      <bottom style="thin">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medium">
        <color theme="0"/>
      </top>
      <bottom style="thin">
        <color theme="0" tint="-0.14993743705557422"/>
      </bottom>
      <diagonal/>
    </border>
  </borders>
  <cellStyleXfs count="8">
    <xf numFmtId="0" fontId="0" fillId="0" borderId="0"/>
    <xf numFmtId="43" fontId="6" fillId="0" borderId="0" applyFont="0" applyFill="0" applyBorder="0" applyAlignment="0" applyProtection="0"/>
    <xf numFmtId="44" fontId="6"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0" fontId="15" fillId="0" borderId="0" applyNumberFormat="0" applyFill="0" applyBorder="0" applyAlignment="0">
      <protection locked="0" hidden="1"/>
    </xf>
    <xf numFmtId="0" fontId="15" fillId="0" borderId="0" applyNumberFormat="0" applyFill="0" applyBorder="0" applyAlignment="0">
      <protection locked="0" hidden="1"/>
    </xf>
  </cellStyleXfs>
  <cellXfs count="69">
    <xf numFmtId="0" fontId="0" fillId="0" borderId="0" xfId="0"/>
    <xf numFmtId="0" fontId="4" fillId="0" borderId="0" xfId="0" applyFont="1" applyAlignment="1">
      <alignment vertical="center"/>
    </xf>
    <xf numFmtId="0" fontId="4" fillId="0" borderId="0" xfId="0" applyFont="1" applyAlignment="1">
      <alignment horizontal="right" vertical="center"/>
    </xf>
    <xf numFmtId="0" fontId="4" fillId="0" borderId="0" xfId="0" applyFont="1" applyAlignment="1" applyProtection="1">
      <alignment vertical="center"/>
      <protection hidden="1"/>
    </xf>
    <xf numFmtId="0" fontId="7" fillId="0" borderId="0" xfId="0" applyFont="1" applyAlignment="1">
      <alignment vertical="center"/>
    </xf>
    <xf numFmtId="0" fontId="8" fillId="0" borderId="0" xfId="0" applyFont="1" applyAlignment="1">
      <alignment vertical="center"/>
    </xf>
    <xf numFmtId="0" fontId="5" fillId="0" borderId="1" xfId="0" applyFont="1" applyBorder="1" applyAlignment="1">
      <alignment vertical="center"/>
    </xf>
    <xf numFmtId="0" fontId="5" fillId="0" borderId="6" xfId="0" applyFont="1" applyBorder="1" applyAlignment="1">
      <alignment vertical="center"/>
    </xf>
    <xf numFmtId="0" fontId="4" fillId="0" borderId="9" xfId="0" applyFont="1" applyBorder="1" applyAlignment="1">
      <alignment horizontal="right" vertical="center"/>
    </xf>
    <xf numFmtId="0" fontId="4" fillId="0" borderId="10" xfId="0" applyFont="1" applyBorder="1" applyAlignment="1">
      <alignment horizontal="right" vertical="center"/>
    </xf>
    <xf numFmtId="0" fontId="4" fillId="0" borderId="11" xfId="0" applyFont="1" applyBorder="1" applyAlignment="1">
      <alignment horizontal="right" vertical="center"/>
    </xf>
    <xf numFmtId="0" fontId="5" fillId="0" borderId="12" xfId="0" applyFont="1" applyBorder="1" applyAlignment="1">
      <alignment vertical="center"/>
    </xf>
    <xf numFmtId="0" fontId="5" fillId="0" borderId="0" xfId="0" applyFont="1" applyAlignment="1">
      <alignment vertical="center"/>
    </xf>
    <xf numFmtId="5" fontId="4" fillId="0" borderId="0" xfId="1" applyNumberFormat="1" applyFont="1" applyAlignment="1" applyProtection="1">
      <alignment horizontal="right" vertical="center"/>
    </xf>
    <xf numFmtId="0" fontId="5" fillId="0" borderId="13" xfId="0" applyFont="1" applyBorder="1" applyAlignment="1">
      <alignment vertical="center"/>
    </xf>
    <xf numFmtId="8" fontId="5" fillId="0" borderId="13" xfId="0" applyNumberFormat="1" applyFont="1" applyBorder="1" applyAlignment="1">
      <alignment horizontal="right" vertical="center"/>
    </xf>
    <xf numFmtId="0" fontId="5" fillId="0" borderId="0" xfId="0" applyFont="1" applyAlignment="1">
      <alignment horizontal="right" vertical="center"/>
    </xf>
    <xf numFmtId="8" fontId="5" fillId="0" borderId="0" xfId="0" applyNumberFormat="1" applyFont="1" applyAlignment="1">
      <alignment horizontal="right" vertical="center"/>
    </xf>
    <xf numFmtId="0" fontId="5" fillId="0" borderId="15" xfId="0" applyFont="1" applyBorder="1" applyAlignment="1">
      <alignment vertical="center"/>
    </xf>
    <xf numFmtId="0" fontId="5" fillId="0" borderId="3" xfId="0" applyFont="1" applyBorder="1" applyAlignment="1">
      <alignment vertical="center"/>
    </xf>
    <xf numFmtId="0" fontId="4" fillId="0" borderId="0" xfId="0" applyFont="1" applyAlignment="1" applyProtection="1">
      <alignment horizontal="right" vertical="center"/>
      <protection hidden="1"/>
    </xf>
    <xf numFmtId="0" fontId="15" fillId="0" borderId="0" xfId="6" applyAlignment="1">
      <alignment horizontal="center" vertical="center"/>
      <protection locked="0" hidden="1"/>
    </xf>
    <xf numFmtId="0" fontId="15" fillId="0" borderId="0" xfId="7" applyAlignment="1" applyProtection="1">
      <alignment horizontal="right" vertical="center"/>
    </xf>
    <xf numFmtId="0" fontId="11" fillId="2" borderId="21" xfId="0" applyFont="1" applyFill="1" applyBorder="1" applyAlignment="1" applyProtection="1">
      <alignment horizontal="center" vertical="center" wrapText="1"/>
      <protection hidden="1"/>
    </xf>
    <xf numFmtId="0" fontId="11" fillId="2" borderId="22" xfId="0" applyFont="1" applyFill="1" applyBorder="1" applyAlignment="1" applyProtection="1">
      <alignment horizontal="center" vertical="center" wrapText="1"/>
      <protection hidden="1"/>
    </xf>
    <xf numFmtId="165" fontId="5" fillId="3" borderId="2" xfId="0" applyNumberFormat="1" applyFont="1" applyFill="1" applyBorder="1" applyAlignment="1" applyProtection="1">
      <alignment horizontal="right" vertical="center"/>
      <protection locked="0"/>
    </xf>
    <xf numFmtId="0" fontId="5" fillId="3" borderId="2" xfId="0" applyFont="1" applyFill="1" applyBorder="1" applyAlignment="1" applyProtection="1">
      <alignment horizontal="right" vertical="center"/>
      <protection locked="0"/>
    </xf>
    <xf numFmtId="164" fontId="1" fillId="3" borderId="2" xfId="0" applyNumberFormat="1" applyFont="1" applyFill="1" applyBorder="1" applyAlignment="1" applyProtection="1">
      <alignment horizontal="right" vertical="center"/>
      <protection locked="0"/>
    </xf>
    <xf numFmtId="0" fontId="13" fillId="2" borderId="3" xfId="0" applyFont="1" applyFill="1" applyBorder="1" applyAlignment="1">
      <alignment vertical="center"/>
    </xf>
    <xf numFmtId="0" fontId="11" fillId="2" borderId="4" xfId="0" applyFont="1" applyFill="1" applyBorder="1" applyAlignment="1">
      <alignment horizontal="right" vertical="center"/>
    </xf>
    <xf numFmtId="0" fontId="11" fillId="2" borderId="18" xfId="0" applyFont="1" applyFill="1" applyBorder="1" applyAlignment="1">
      <alignment horizontal="right" vertical="center"/>
    </xf>
    <xf numFmtId="0" fontId="11" fillId="2" borderId="3" xfId="0" applyFont="1" applyFill="1" applyBorder="1" applyAlignment="1">
      <alignment horizontal="right" vertical="center"/>
    </xf>
    <xf numFmtId="0" fontId="11" fillId="2" borderId="5" xfId="0" applyFont="1" applyFill="1" applyBorder="1" applyAlignment="1">
      <alignment horizontal="right" vertical="center"/>
    </xf>
    <xf numFmtId="0" fontId="1" fillId="0" borderId="0" xfId="0" applyFont="1" applyProtection="1">
      <protection hidden="1"/>
    </xf>
    <xf numFmtId="14" fontId="1" fillId="0" borderId="0" xfId="0" applyNumberFormat="1" applyFont="1" applyAlignment="1" applyProtection="1">
      <alignment horizontal="center" vertical="center"/>
      <protection hidden="1"/>
    </xf>
    <xf numFmtId="164" fontId="1" fillId="0" borderId="0" xfId="2" applyNumberFormat="1" applyFont="1" applyAlignment="1" applyProtection="1">
      <alignment horizontal="center" vertical="center"/>
      <protection hidden="1"/>
    </xf>
    <xf numFmtId="8" fontId="1" fillId="0" borderId="0" xfId="0" applyNumberFormat="1" applyFont="1" applyAlignment="1" applyProtection="1">
      <alignment horizontal="center" vertical="center"/>
      <protection hidden="1"/>
    </xf>
    <xf numFmtId="0" fontId="1" fillId="0" borderId="0" xfId="0" applyFont="1" applyAlignment="1" applyProtection="1">
      <alignment horizontal="center" vertical="center"/>
      <protection hidden="1"/>
    </xf>
    <xf numFmtId="14" fontId="11" fillId="2" borderId="20" xfId="0" applyNumberFormat="1" applyFont="1" applyFill="1" applyBorder="1" applyAlignment="1" applyProtection="1">
      <alignment horizontal="center" vertical="center" wrapText="1"/>
      <protection hidden="1"/>
    </xf>
    <xf numFmtId="14" fontId="1" fillId="0" borderId="0" xfId="0" applyNumberFormat="1" applyFont="1" applyProtection="1">
      <protection hidden="1"/>
    </xf>
    <xf numFmtId="166" fontId="4" fillId="0" borderId="0" xfId="0" applyNumberFormat="1" applyFont="1" applyAlignment="1" applyProtection="1">
      <alignment horizontal="right" vertical="center"/>
      <protection hidden="1"/>
    </xf>
    <xf numFmtId="166" fontId="13" fillId="0" borderId="0" xfId="0" applyNumberFormat="1" applyFont="1" applyAlignment="1" applyProtection="1">
      <alignment horizontal="right" vertical="center"/>
      <protection hidden="1"/>
    </xf>
    <xf numFmtId="0" fontId="4" fillId="0" borderId="19" xfId="0" applyFont="1" applyBorder="1" applyAlignment="1">
      <alignment horizontal="center" vertical="center"/>
    </xf>
    <xf numFmtId="167" fontId="3" fillId="3" borderId="7" xfId="0" applyNumberFormat="1" applyFont="1" applyFill="1" applyBorder="1" applyAlignment="1" applyProtection="1">
      <alignment horizontal="right" vertical="center"/>
      <protection locked="0"/>
    </xf>
    <xf numFmtId="167" fontId="4" fillId="3" borderId="7" xfId="0" applyNumberFormat="1" applyFont="1" applyFill="1" applyBorder="1" applyAlignment="1" applyProtection="1">
      <alignment horizontal="right" vertical="center"/>
      <protection locked="0"/>
    </xf>
    <xf numFmtId="168" fontId="4" fillId="3" borderId="8" xfId="0" applyNumberFormat="1" applyFont="1" applyFill="1" applyBorder="1" applyAlignment="1" applyProtection="1">
      <alignment horizontal="right" vertical="center"/>
      <protection locked="0"/>
    </xf>
    <xf numFmtId="167" fontId="4" fillId="3" borderId="8" xfId="0" applyNumberFormat="1" applyFont="1" applyFill="1" applyBorder="1" applyAlignment="1" applyProtection="1">
      <alignment horizontal="right" vertical="center"/>
      <protection locked="0"/>
    </xf>
    <xf numFmtId="167" fontId="4" fillId="0" borderId="8" xfId="0" applyNumberFormat="1" applyFont="1" applyBorder="1" applyAlignment="1">
      <alignment horizontal="right" vertical="center"/>
    </xf>
    <xf numFmtId="167" fontId="4" fillId="0" borderId="14" xfId="0" applyNumberFormat="1" applyFont="1" applyBorder="1" applyAlignment="1">
      <alignment horizontal="right" vertical="center"/>
    </xf>
    <xf numFmtId="168" fontId="5" fillId="0" borderId="16" xfId="0" applyNumberFormat="1" applyFont="1" applyBorder="1" applyAlignment="1">
      <alignment horizontal="right" vertical="center"/>
    </xf>
    <xf numFmtId="168" fontId="5" fillId="0" borderId="17" xfId="0" applyNumberFormat="1" applyFont="1" applyBorder="1" applyAlignment="1">
      <alignment horizontal="right" vertical="center"/>
    </xf>
    <xf numFmtId="167" fontId="5" fillId="0" borderId="4" xfId="0" applyNumberFormat="1" applyFont="1" applyBorder="1" applyAlignment="1">
      <alignment horizontal="right" vertical="center"/>
    </xf>
    <xf numFmtId="167" fontId="5" fillId="0" borderId="5" xfId="0" applyNumberFormat="1" applyFont="1" applyBorder="1" applyAlignment="1">
      <alignment horizontal="right" vertical="center"/>
    </xf>
    <xf numFmtId="169" fontId="5" fillId="4" borderId="23" xfId="0" applyNumberFormat="1" applyFont="1" applyFill="1" applyBorder="1" applyAlignment="1">
      <alignment horizontal="right" vertical="center"/>
    </xf>
    <xf numFmtId="169" fontId="5" fillId="4" borderId="24" xfId="0" applyNumberFormat="1" applyFont="1" applyFill="1" applyBorder="1" applyAlignment="1">
      <alignment horizontal="right" vertical="center"/>
    </xf>
    <xf numFmtId="169" fontId="5" fillId="4" borderId="25" xfId="0" applyNumberFormat="1" applyFont="1" applyFill="1" applyBorder="1" applyAlignment="1">
      <alignment horizontal="right" vertical="center"/>
    </xf>
    <xf numFmtId="170" fontId="4" fillId="3" borderId="8" xfId="1" applyNumberFormat="1" applyFont="1" applyFill="1" applyBorder="1" applyAlignment="1" applyProtection="1">
      <alignment horizontal="right" vertical="center"/>
      <protection locked="0"/>
    </xf>
    <xf numFmtId="170" fontId="4" fillId="3" borderId="14" xfId="1" applyNumberFormat="1" applyFont="1" applyFill="1" applyBorder="1" applyAlignment="1" applyProtection="1">
      <alignment horizontal="right" vertical="center"/>
      <protection locked="0"/>
    </xf>
    <xf numFmtId="0" fontId="14" fillId="0" borderId="0" xfId="0" applyFont="1" applyAlignment="1" applyProtection="1">
      <alignment horizontal="center" vertical="center"/>
      <protection hidden="1"/>
    </xf>
    <xf numFmtId="0" fontId="1" fillId="0" borderId="0" xfId="0" applyFont="1" applyAlignment="1" applyProtection="1">
      <alignment horizontal="center"/>
      <protection hidden="1"/>
    </xf>
    <xf numFmtId="14" fontId="1" fillId="0" borderId="26" xfId="2" applyNumberFormat="1" applyFont="1" applyBorder="1" applyAlignment="1" applyProtection="1">
      <alignment horizontal="center" vertical="center"/>
      <protection hidden="1"/>
    </xf>
    <xf numFmtId="0" fontId="15" fillId="0" borderId="26" xfId="7" applyBorder="1" applyAlignment="1">
      <alignment horizontal="center"/>
      <protection locked="0" hidden="1"/>
    </xf>
    <xf numFmtId="164" fontId="1" fillId="0" borderId="26" xfId="2" applyNumberFormat="1" applyFont="1" applyBorder="1" applyAlignment="1" applyProtection="1">
      <alignment horizontal="center" vertical="center"/>
      <protection hidden="1"/>
    </xf>
    <xf numFmtId="8" fontId="1" fillId="0" borderId="26" xfId="0" applyNumberFormat="1" applyFont="1" applyBorder="1" applyAlignment="1" applyProtection="1">
      <alignment horizontal="center" vertical="center"/>
      <protection hidden="1"/>
    </xf>
    <xf numFmtId="14" fontId="1" fillId="0" borderId="27" xfId="2" applyNumberFormat="1" applyFont="1" applyBorder="1" applyAlignment="1" applyProtection="1">
      <alignment horizontal="center" vertical="center"/>
      <protection hidden="1"/>
    </xf>
    <xf numFmtId="0" fontId="15" fillId="0" borderId="27" xfId="7" applyBorder="1" applyAlignment="1">
      <alignment horizontal="center"/>
      <protection locked="0" hidden="1"/>
    </xf>
    <xf numFmtId="164" fontId="1" fillId="0" borderId="27" xfId="2" applyNumberFormat="1" applyFont="1" applyBorder="1" applyAlignment="1" applyProtection="1">
      <alignment horizontal="center" vertical="center"/>
      <protection hidden="1"/>
    </xf>
    <xf numFmtId="8" fontId="1" fillId="0" borderId="27" xfId="0" applyNumberFormat="1" applyFont="1" applyBorder="1" applyAlignment="1" applyProtection="1">
      <alignment horizontal="center" vertical="center"/>
      <protection hidden="1"/>
    </xf>
    <xf numFmtId="0" fontId="15" fillId="0" borderId="26" xfId="7" applyBorder="1" applyAlignment="1" applyProtection="1">
      <alignment horizontal="center"/>
      <protection hidden="1"/>
    </xf>
  </cellXfs>
  <cellStyles count="8">
    <cellStyle name="Comma" xfId="1" builtinId="3"/>
    <cellStyle name="Comma 2" xfId="5" xr:uid="{9DACB027-7B57-45DA-81C9-513CA8EF15AA}"/>
    <cellStyle name="Comma 4" xfId="4" xr:uid="{C21549DF-CE53-4B49-9209-5CEF094B7031}"/>
    <cellStyle name="Currency" xfId="2" builtinId="4"/>
    <cellStyle name="Followed Hyperlink" xfId="6" builtinId="9" customBuiltin="1"/>
    <cellStyle name="Hyperlink" xfId="7" builtinId="8" customBuiltin="1"/>
    <cellStyle name="Normal" xfId="0" builtinId="0"/>
    <cellStyle name="Normal 2" xfId="3" xr:uid="{72DD9D78-AF18-44E2-AAA9-5FD408302313}"/>
  </cellStyles>
  <dxfs count="144">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
      <fill>
        <patternFill>
          <bgColor theme="5" tint="0.59996337778862885"/>
        </patternFill>
      </fill>
      <border>
        <left style="thin">
          <color theme="0"/>
        </left>
        <right style="thin">
          <color theme="0"/>
        </right>
        <top style="thin">
          <color theme="0"/>
        </top>
        <bottom style="thin">
          <color theme="0"/>
        </bottom>
      </border>
    </dxf>
    <dxf>
      <fill>
        <patternFill>
          <bgColor theme="9" tint="0.79998168889431442"/>
        </patternFill>
      </fill>
      <border>
        <left style="thin">
          <color theme="0"/>
        </left>
        <right style="thin">
          <color theme="0"/>
        </right>
        <top style="thin">
          <color theme="0"/>
        </top>
        <bottom style="thin">
          <color theme="0"/>
        </bottom>
      </border>
    </dxf>
    <dxf>
      <fill>
        <patternFill>
          <bgColor theme="5" tint="0.59996337778862885"/>
        </patternFill>
      </fill>
      <border>
        <left style="thin">
          <color theme="0"/>
        </left>
        <right style="thin">
          <color theme="0"/>
        </right>
        <top style="thin">
          <color theme="0"/>
        </top>
        <bottom style="thin">
          <color theme="0"/>
        </bottom>
      </border>
    </dxf>
    <dxf>
      <fill>
        <patternFill>
          <bgColor theme="9" tint="0.79998168889431442"/>
        </patternFill>
      </fill>
      <border>
        <left style="thin">
          <color theme="0"/>
        </left>
        <right style="thin">
          <color theme="0"/>
        </right>
        <top style="thin">
          <color theme="0"/>
        </top>
        <bottom style="thin">
          <color theme="0"/>
        </bottom>
      </border>
    </dxf>
    <dxf>
      <fill>
        <patternFill>
          <bgColor theme="5" tint="0.59996337778862885"/>
        </patternFill>
      </fill>
      <border>
        <left style="thin">
          <color theme="0"/>
        </left>
        <right style="thin">
          <color theme="0"/>
        </right>
        <top style="thin">
          <color theme="0"/>
        </top>
        <bottom style="thin">
          <color theme="0"/>
        </bottom>
      </border>
    </dxf>
    <dxf>
      <fill>
        <patternFill>
          <bgColor theme="9" tint="0.79998168889431442"/>
        </patternFill>
      </fill>
      <border>
        <left style="thin">
          <color theme="0"/>
        </left>
        <right style="thin">
          <color theme="0"/>
        </right>
        <top style="thin">
          <color theme="0"/>
        </top>
        <bottom style="thin">
          <color theme="0"/>
        </bottom>
      </border>
    </dxf>
    <dxf>
      <font>
        <b/>
        <i val="0"/>
        <color theme="0"/>
      </font>
      <fill>
        <patternFill>
          <bgColor theme="5"/>
        </patternFill>
      </fill>
      <border>
        <left style="thin">
          <color theme="0"/>
        </left>
        <right style="thin">
          <color theme="0"/>
        </right>
        <top style="thin">
          <color theme="0"/>
        </top>
        <bottom style="thin">
          <color theme="0"/>
        </bottom>
      </border>
    </dxf>
    <dxf>
      <font>
        <b/>
        <i val="0"/>
        <color theme="1"/>
      </font>
      <fill>
        <patternFill>
          <bgColor theme="6"/>
        </patternFill>
      </fill>
      <border>
        <left style="thin">
          <color theme="0"/>
        </left>
        <right style="thin">
          <color theme="0"/>
        </right>
        <top style="thin">
          <color theme="0"/>
        </top>
        <bottom style="thin">
          <color theme="0"/>
        </bottom>
      </border>
    </dxf>
    <dxf>
      <font>
        <b/>
        <i val="0"/>
        <color theme="0"/>
      </font>
      <fill>
        <patternFill>
          <bgColor theme="9"/>
        </patternFill>
      </fill>
      <border>
        <left style="thin">
          <color theme="0"/>
        </left>
        <right style="thin">
          <color theme="0"/>
        </right>
        <top style="thin">
          <color theme="0"/>
        </top>
        <bottom style="thin">
          <color theme="0"/>
        </bottom>
      </border>
    </dxf>
    <dxf>
      <font>
        <b/>
        <i val="0"/>
        <color theme="0"/>
      </font>
      <fill>
        <patternFill>
          <bgColor theme="5"/>
        </patternFill>
      </fill>
    </dxf>
    <dxf>
      <font>
        <b/>
        <i val="0"/>
        <color auto="1"/>
      </font>
      <fill>
        <patternFill>
          <bgColor theme="6"/>
        </patternFill>
      </fill>
    </dxf>
    <dxf>
      <font>
        <b/>
        <i val="0"/>
        <color theme="0"/>
      </font>
      <fill>
        <patternFill>
          <bgColor theme="9"/>
        </patternFill>
      </fill>
    </dxf>
    <dxf>
      <font>
        <b/>
        <i val="0"/>
        <color theme="1"/>
      </font>
      <fill>
        <patternFill patternType="solid">
          <fgColor auto="1"/>
          <bgColor theme="5" tint="0.59996337778862885"/>
        </patternFill>
      </fill>
    </dxf>
    <dxf>
      <font>
        <b/>
        <i val="0"/>
        <color auto="1"/>
      </font>
      <fill>
        <patternFill patternType="solid">
          <fgColor auto="1"/>
          <bgColor theme="9" tint="0.59996337778862885"/>
        </patternFill>
      </fill>
    </dxf>
  </dxfs>
  <tableStyles count="0" defaultTableStyle="TableStyleMedium2" defaultPivotStyle="PivotStyleLight16"/>
  <colors>
    <mruColors>
      <color rgb="FF1B9F80"/>
      <color rgb="FF007BF6"/>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thefreedomtrader.com/"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4.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5.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7.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8.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9.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10.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11.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12.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13.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14.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15.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16.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17.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18.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19.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20.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21.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22.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23.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24.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25.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26.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27.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_rels/drawing28.xml.rels><?xml version="1.0" encoding="UTF-8" standalone="yes"?>
<Relationships xmlns="http://schemas.openxmlformats.org/package/2006/relationships"><Relationship Id="rId3" Type="http://schemas.openxmlformats.org/officeDocument/2006/relationships/hyperlink" Target="#'.TABLE OF CONTENTS'!B2"/><Relationship Id="rId2" Type="http://schemas.openxmlformats.org/officeDocument/2006/relationships/image" Target="../media/image2.png"/><Relationship Id="rId1" Type="http://schemas.openxmlformats.org/officeDocument/2006/relationships/hyperlink" Target="http://www.thefreedomtrader.com/" TargetMode="External"/></Relationships>
</file>

<file path=xl/drawings/drawing1.xml><?xml version="1.0" encoding="utf-8"?>
<xdr:wsDr xmlns:xdr="http://schemas.openxmlformats.org/drawingml/2006/spreadsheetDrawing" xmlns:a="http://schemas.openxmlformats.org/drawingml/2006/main">
  <xdr:twoCellAnchor>
    <xdr:from>
      <xdr:col>7</xdr:col>
      <xdr:colOff>244475</xdr:colOff>
      <xdr:row>0</xdr:row>
      <xdr:rowOff>76199</xdr:rowOff>
    </xdr:from>
    <xdr:to>
      <xdr:col>9</xdr:col>
      <xdr:colOff>564875</xdr:colOff>
      <xdr:row>0</xdr:row>
      <xdr:rowOff>508199</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6584926" y="76199"/>
          <a:ext cx="1943708" cy="432000"/>
          <a:chOff x="6264275" y="76199"/>
          <a:chExt cx="1692000" cy="432000"/>
        </a:xfrm>
      </xdr:grpSpPr>
      <xdr:sp macro="[0]!TabsAscending" textlink="">
        <xdr:nvSpPr>
          <xdr:cNvPr id="2" name="Rectangle 1">
            <a:extLst>
              <a:ext uri="{FF2B5EF4-FFF2-40B4-BE49-F238E27FC236}">
                <a16:creationId xmlns:a16="http://schemas.microsoft.com/office/drawing/2014/main" id="{00000000-0008-0000-0000-000002000000}"/>
              </a:ext>
            </a:extLst>
          </xdr:cNvPr>
          <xdr:cNvSpPr/>
        </xdr:nvSpPr>
        <xdr:spPr>
          <a:xfrm>
            <a:off x="6264275" y="76199"/>
            <a:ext cx="1692000" cy="432000"/>
          </a:xfrm>
          <a:prstGeom prst="rect">
            <a:avLst/>
          </a:prstGeom>
          <a:solidFill>
            <a:schemeClr val="bg1"/>
          </a:solidFill>
          <a:ln>
            <a:solidFill>
              <a:schemeClr val="bg1"/>
            </a:solidFill>
          </a:ln>
          <a:effectLst>
            <a:outerShdw blurRad="50800" sx="101000" sy="101000" algn="ctr" rotWithShape="0">
              <a:prstClr val="black">
                <a:alpha val="4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mc:AlternateContent xmlns:mc="http://schemas.openxmlformats.org/markup-compatibility/2006">
        <mc:Choice xmlns:a14="http://schemas.microsoft.com/office/drawing/2010/main" Requires="a14">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6295888" y="96937"/>
                <a:ext cx="1628775" cy="390525"/>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none" strike="noStrike" baseline="0">
                    <a:solidFill>
                      <a:srgbClr val="000000"/>
                    </a:solidFill>
                    <a:latin typeface="Calibri" pitchFamily="2" charset="0"/>
                    <a:cs typeface="Calibri" pitchFamily="2" charset="0"/>
                  </a:rPr>
                  <a:t>Sort Sheets from A-Z</a:t>
                </a:r>
              </a:p>
            </xdr:txBody>
          </xdr:sp>
        </mc:Choice>
        <mc:Fallback/>
      </mc:AlternateContent>
    </xdr:grpSp>
    <xdr:clientData fPrintsWithSheet="0"/>
  </xdr:twoCellAnchor>
  <xdr:twoCellAnchor editAs="absolute">
    <xdr:from>
      <xdr:col>10</xdr:col>
      <xdr:colOff>1343025</xdr:colOff>
      <xdr:row>0</xdr:row>
      <xdr:rowOff>38100</xdr:rowOff>
    </xdr:from>
    <xdr:to>
      <xdr:col>10</xdr:col>
      <xdr:colOff>3762375</xdr:colOff>
      <xdr:row>0</xdr:row>
      <xdr:rowOff>555533</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106025" y="38100"/>
          <a:ext cx="2419350" cy="517433"/>
        </a:xfrm>
        <a:prstGeom prst="rect">
          <a:avLst/>
        </a:prstGeom>
      </xdr:spPr>
    </xdr:pic>
    <xdr:clientData/>
  </xdr:twoCellAnchor>
  <xdr:oneCellAnchor>
    <xdr:from>
      <xdr:col>7</xdr:col>
      <xdr:colOff>273050</xdr:colOff>
      <xdr:row>4</xdr:row>
      <xdr:rowOff>98422</xdr:rowOff>
    </xdr:from>
    <xdr:ext cx="5518150" cy="4854578"/>
    <xdr:sp macro="" textlink="" fLocksText="0">
      <xdr:nvSpPr>
        <xdr:cNvPr id="5" name="Speech Bubble: Rectangle 4">
          <a:extLst>
            <a:ext uri="{FF2B5EF4-FFF2-40B4-BE49-F238E27FC236}">
              <a16:creationId xmlns:a16="http://schemas.microsoft.com/office/drawing/2014/main" id="{00000000-0008-0000-0000-000005000000}"/>
            </a:ext>
          </a:extLst>
        </xdr:cNvPr>
        <xdr:cNvSpPr/>
      </xdr:nvSpPr>
      <xdr:spPr>
        <a:xfrm>
          <a:off x="6626225" y="1365247"/>
          <a:ext cx="5518150" cy="4854578"/>
        </a:xfrm>
        <a:prstGeom prst="wedgeRectCallout">
          <a:avLst>
            <a:gd name="adj1" fmla="val -50057"/>
            <a:gd name="adj2" fmla="val 23091"/>
          </a:avLst>
        </a:prstGeom>
        <a:solidFill>
          <a:schemeClr val="accent1">
            <a:lumMod val="40000"/>
            <a:lumOff val="60000"/>
          </a:schemeClr>
        </a:solidFill>
        <a:ln w="9525">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180000" rIns="108000" bIns="108000" rtlCol="0" anchor="t">
          <a:noAutofit/>
        </a:bodyPr>
        <a:lstStyle/>
        <a:p>
          <a:pPr algn="l"/>
          <a:r>
            <a:rPr lang="en-AU" sz="1100" b="1">
              <a:solidFill>
                <a:schemeClr val="accent6"/>
              </a:solidFill>
            </a:rPr>
            <a:t>NOTE:  </a:t>
          </a:r>
          <a:r>
            <a:rPr lang="en-AU" sz="1100" b="0">
              <a:solidFill>
                <a:schemeClr val="accent6"/>
              </a:solidFill>
            </a:rPr>
            <a:t>The Table of Contents captures </a:t>
          </a:r>
          <a:r>
            <a:rPr lang="en-AU" sz="1100" b="1">
              <a:solidFill>
                <a:schemeClr val="accent6"/>
              </a:solidFill>
            </a:rPr>
            <a:t>only</a:t>
          </a:r>
          <a:r>
            <a:rPr lang="en-AU" sz="1100" b="0">
              <a:solidFill>
                <a:schemeClr val="accent6"/>
              </a:solidFill>
            </a:rPr>
            <a:t> 50 trades. </a:t>
          </a:r>
        </a:p>
        <a:p>
          <a:pPr algn="l"/>
          <a:r>
            <a:rPr lang="en-AU" sz="1100" b="1">
              <a:solidFill>
                <a:sysClr val="windowText" lastClr="000000"/>
              </a:solidFill>
            </a:rPr>
            <a:t>             </a:t>
          </a:r>
          <a:r>
            <a:rPr lang="en-AU" sz="1100" b="0">
              <a:solidFill>
                <a:schemeClr val="accent6"/>
              </a:solidFill>
            </a:rPr>
            <a:t>This</a:t>
          </a:r>
          <a:r>
            <a:rPr lang="en-AU" sz="1100" b="0" baseline="0">
              <a:solidFill>
                <a:schemeClr val="accent6"/>
              </a:solidFill>
            </a:rPr>
            <a:t> file must be saved with file type as</a:t>
          </a:r>
          <a:r>
            <a:rPr lang="en-AU" sz="1100" b="1" baseline="0">
              <a:solidFill>
                <a:schemeClr val="accent6"/>
              </a:solidFill>
            </a:rPr>
            <a:t> Excel Macro-Enabled Workbook.</a:t>
          </a:r>
          <a:endParaRPr lang="en-AU" sz="1100" b="1">
            <a:solidFill>
              <a:schemeClr val="accent6"/>
            </a:solidFill>
          </a:endParaRPr>
        </a:p>
        <a:p>
          <a:pPr algn="l"/>
          <a:endParaRPr lang="en-AU" sz="1100" b="1"/>
        </a:p>
        <a:p>
          <a:pPr algn="l"/>
          <a:endParaRPr lang="en-AU" sz="1100" b="1" baseline="0">
            <a:solidFill>
              <a:sysClr val="windowText" lastClr="000000"/>
            </a:solidFill>
            <a:effectLst/>
            <a:latin typeface="+mn-lt"/>
            <a:ea typeface="+mn-ea"/>
            <a:cs typeface="+mn-cs"/>
          </a:endParaRPr>
        </a:p>
        <a:p>
          <a:pPr algn="l"/>
          <a:r>
            <a:rPr lang="en-AU" sz="1100" b="1" baseline="0">
              <a:solidFill>
                <a:sysClr val="windowText" lastClr="000000"/>
              </a:solidFill>
            </a:rPr>
            <a:t>Instruction for the Table of Contents sheet:</a:t>
          </a:r>
        </a:p>
        <a:p>
          <a:pPr algn="l"/>
          <a:endParaRPr lang="en-AU" sz="1100" b="1" baseline="0">
            <a:solidFill>
              <a:schemeClr val="tx1"/>
            </a:solidFill>
          </a:endParaRPr>
        </a:p>
        <a:p>
          <a:pPr algn="l"/>
          <a:r>
            <a:rPr lang="en-AU" sz="1100" b="0" baseline="0">
              <a:solidFill>
                <a:schemeClr val="tx1"/>
              </a:solidFill>
            </a:rPr>
            <a:t>1. To sort worksheets into alphabetical order, simply click the "Sort Sheets from A-Z" button.</a:t>
          </a:r>
        </a:p>
        <a:p>
          <a:pPr algn="l"/>
          <a:endParaRPr lang="en-AU" sz="1100" b="0" baseline="0">
            <a:solidFill>
              <a:schemeClr val="tx1"/>
            </a:solidFill>
          </a:endParaRPr>
        </a:p>
        <a:p>
          <a:pPr algn="l"/>
          <a:r>
            <a:rPr lang="en-AU" sz="1100" b="0" baseline="0">
              <a:solidFill>
                <a:schemeClr val="tx1"/>
              </a:solidFill>
            </a:rPr>
            <a:t>2. Click on the stock codes in column B (text in Blue) to jump to the worksheet.</a:t>
          </a:r>
        </a:p>
        <a:p>
          <a:pPr algn="l"/>
          <a:endParaRPr lang="en-AU" sz="1100" b="0" baseline="0">
            <a:solidFill>
              <a:schemeClr val="tx1"/>
            </a:solidFill>
          </a:endParaRPr>
        </a:p>
        <a:p>
          <a:r>
            <a:rPr lang="en-AU" sz="1100" b="0">
              <a:solidFill>
                <a:sysClr val="windowText" lastClr="000000"/>
              </a:solidFill>
              <a:effectLst/>
              <a:latin typeface="+mn-lt"/>
              <a:ea typeface="+mn-ea"/>
              <a:cs typeface="+mn-cs"/>
            </a:rPr>
            <a:t>3.</a:t>
          </a:r>
          <a:r>
            <a:rPr lang="en-AU" sz="1100" b="0" baseline="0">
              <a:solidFill>
                <a:sysClr val="windowText" lastClr="000000"/>
              </a:solidFill>
              <a:effectLst/>
              <a:latin typeface="+mn-lt"/>
              <a:ea typeface="+mn-ea"/>
              <a:cs typeface="+mn-cs"/>
            </a:rPr>
            <a:t> To insert additional new valuation sheets, simply click the "Add 5 New Sheets"</a:t>
          </a:r>
          <a:r>
            <a:rPr lang="en-AU" sz="1100" b="1" baseline="0">
              <a:solidFill>
                <a:sysClr val="windowText" lastClr="000000"/>
              </a:solidFill>
              <a:effectLst/>
              <a:latin typeface="+mn-lt"/>
              <a:ea typeface="+mn-ea"/>
              <a:cs typeface="+mn-cs"/>
            </a:rPr>
            <a:t> </a:t>
          </a:r>
          <a:r>
            <a:rPr lang="en-AU" sz="1100" b="0" baseline="0">
              <a:solidFill>
                <a:sysClr val="windowText" lastClr="000000"/>
              </a:solidFill>
              <a:effectLst/>
              <a:latin typeface="+mn-lt"/>
              <a:ea typeface="+mn-ea"/>
              <a:cs typeface="+mn-cs"/>
            </a:rPr>
            <a:t>button.</a:t>
          </a:r>
          <a:endParaRPr lang="en-AU">
            <a:solidFill>
              <a:sysClr val="windowText" lastClr="000000"/>
            </a:solidFill>
            <a:effectLst/>
          </a:endParaRPr>
        </a:p>
        <a:p>
          <a:r>
            <a:rPr lang="en-AU" sz="1100" b="0" i="1" baseline="0">
              <a:solidFill>
                <a:sysClr val="windowText" lastClr="000000"/>
              </a:solidFill>
              <a:effectLst/>
              <a:latin typeface="+mn-lt"/>
              <a:ea typeface="+mn-ea"/>
              <a:cs typeface="+mn-cs"/>
            </a:rPr>
            <a:t>     Note, the insert (+) New Sheet is disabled.</a:t>
          </a:r>
          <a:endParaRPr lang="en-AU">
            <a:solidFill>
              <a:sysClr val="windowText" lastClr="000000"/>
            </a:solidFill>
            <a:effectLst/>
          </a:endParaRPr>
        </a:p>
        <a:p>
          <a:pPr algn="l"/>
          <a:r>
            <a:rPr lang="en-AU" sz="1100" b="1" baseline="0">
              <a:solidFill>
                <a:schemeClr val="bg1"/>
              </a:solidFill>
            </a:rPr>
            <a:t> </a:t>
          </a:r>
        </a:p>
        <a:p>
          <a:pPr algn="l"/>
          <a:endParaRPr lang="en-AU" sz="1100" b="1" baseline="0">
            <a:solidFill>
              <a:schemeClr val="bg1"/>
            </a:solidFill>
          </a:endParaRPr>
        </a:p>
        <a:p>
          <a:pPr algn="l"/>
          <a:endParaRPr lang="en-AU" sz="1100" b="1" baseline="0">
            <a:solidFill>
              <a:schemeClr val="bg1"/>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1" i="0" u="none" strike="noStrike" kern="0" cap="none" spc="0" normalizeH="0" baseline="0" noProof="0">
              <a:ln>
                <a:noFill/>
              </a:ln>
              <a:solidFill>
                <a:sysClr val="windowText" lastClr="000000"/>
              </a:solidFill>
              <a:effectLst/>
              <a:uLnTx/>
              <a:uFillTx/>
              <a:latin typeface="+mn-lt"/>
              <a:ea typeface="+mn-ea"/>
              <a:cs typeface="+mn-cs"/>
            </a:rPr>
            <a:t>Instruction for the Stock Valuation Calculator sheets: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AU" sz="1100" b="1" i="0" u="none" strike="noStrike" kern="0" cap="none" spc="0" normalizeH="0" baseline="0" noProof="0">
            <a:ln>
              <a:noFill/>
            </a:ln>
            <a:solidFill>
              <a:prstClr val="white"/>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0" i="0" u="none" strike="noStrike" kern="0" cap="none" spc="0" normalizeH="0" baseline="0" noProof="0">
              <a:ln>
                <a:noFill/>
              </a:ln>
              <a:solidFill>
                <a:sysClr val="windowText" lastClr="000000"/>
              </a:solidFill>
              <a:effectLst/>
              <a:uLnTx/>
              <a:uFillTx/>
              <a:latin typeface="+mn-lt"/>
              <a:ea typeface="+mn-ea"/>
              <a:cs typeface="+mn-cs"/>
            </a:rPr>
            <a:t>1. Each worksheet will automatically rename itself when the Stock Code is entered.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AU" sz="1100" b="0" i="0" u="none" strike="noStrike" kern="0" cap="none" spc="0" normalizeH="0" baseline="0" noProof="0">
            <a:ln>
              <a:noFill/>
            </a:ln>
            <a:solidFill>
              <a:sysClr val="windowText" lastClr="000000"/>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0" i="0" u="none" strike="noStrike" kern="0" cap="none" spc="0" normalizeH="0" baseline="0" noProof="0">
              <a:ln>
                <a:noFill/>
              </a:ln>
              <a:solidFill>
                <a:prstClr val="black"/>
              </a:solidFill>
              <a:effectLst/>
              <a:uLnTx/>
              <a:uFillTx/>
              <a:latin typeface="+mn-lt"/>
              <a:ea typeface="+mn-ea"/>
              <a:cs typeface="+mn-cs"/>
            </a:rPr>
            <a:t>2. Cells with light shading are fillable, the rest will calculate automatically.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AU" sz="1100" b="0" i="0" u="none" strike="noStrike" kern="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0" i="0" u="none" strike="noStrike" kern="0" cap="none" spc="0" normalizeH="0" baseline="0" noProof="0">
              <a:ln>
                <a:noFill/>
              </a:ln>
              <a:solidFill>
                <a:prstClr val="black"/>
              </a:solidFill>
              <a:effectLst/>
              <a:uLnTx/>
              <a:uFillTx/>
              <a:latin typeface="+mn-lt"/>
              <a:ea typeface="+mn-ea"/>
              <a:cs typeface="+mn-cs"/>
            </a:rPr>
            <a:t>3. To delete an unwanted valuation sheet, simply click on the "Delete Sheet" button.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AU" sz="1100" b="0" i="0" u="none" strike="noStrike" kern="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AU" sz="1100" b="0" i="0" u="none" strike="noStrike" kern="0" cap="none" spc="0" normalizeH="0" baseline="0" noProof="0">
              <a:ln>
                <a:noFill/>
              </a:ln>
              <a:solidFill>
                <a:prstClr val="black"/>
              </a:solidFill>
              <a:effectLst/>
              <a:uLnTx/>
              <a:uFillTx/>
              <a:latin typeface="+mn-lt"/>
              <a:ea typeface="+mn-ea"/>
              <a:cs typeface="+mn-cs"/>
            </a:rPr>
            <a:t>4. To navigate back to the Table of Contents, click on the "Return to TOC" button.</a:t>
          </a:r>
        </a:p>
        <a:p>
          <a:pPr algn="l"/>
          <a:endParaRPr lang="en-AU" sz="1100" b="1" baseline="0">
            <a:solidFill>
              <a:schemeClr val="bg1"/>
            </a:solidFill>
          </a:endParaRPr>
        </a:p>
        <a:p>
          <a:pPr algn="l"/>
          <a:endParaRPr lang="en-AU" sz="1100" b="1"/>
        </a:p>
      </xdr:txBody>
    </xdr:sp>
    <xdr:clientData fLocksWithSheet="0" fPrintsWithSheet="0"/>
  </xdr:oneCellAnchor>
  <xdr:twoCellAnchor>
    <xdr:from>
      <xdr:col>7</xdr:col>
      <xdr:colOff>257175</xdr:colOff>
      <xdr:row>1</xdr:row>
      <xdr:rowOff>114300</xdr:rowOff>
    </xdr:from>
    <xdr:to>
      <xdr:col>9</xdr:col>
      <xdr:colOff>577575</xdr:colOff>
      <xdr:row>3</xdr:row>
      <xdr:rowOff>89100</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6597626" y="734977"/>
          <a:ext cx="1943708" cy="433146"/>
          <a:chOff x="6610350" y="695325"/>
          <a:chExt cx="1939650" cy="432000"/>
        </a:xfrm>
      </xdr:grpSpPr>
      <xdr:sp macro="[0]!TabsAscending" textlink="">
        <xdr:nvSpPr>
          <xdr:cNvPr id="9" name="Rectangle 8">
            <a:extLst>
              <a:ext uri="{FF2B5EF4-FFF2-40B4-BE49-F238E27FC236}">
                <a16:creationId xmlns:a16="http://schemas.microsoft.com/office/drawing/2014/main" id="{00000000-0008-0000-0000-000009000000}"/>
              </a:ext>
            </a:extLst>
          </xdr:cNvPr>
          <xdr:cNvSpPr/>
        </xdr:nvSpPr>
        <xdr:spPr>
          <a:xfrm>
            <a:off x="6610350" y="695325"/>
            <a:ext cx="1939650" cy="432000"/>
          </a:xfrm>
          <a:prstGeom prst="rect">
            <a:avLst/>
          </a:prstGeom>
          <a:solidFill>
            <a:schemeClr val="bg1"/>
          </a:solidFill>
          <a:ln>
            <a:solidFill>
              <a:schemeClr val="bg1"/>
            </a:solidFill>
          </a:ln>
          <a:effectLst>
            <a:outerShdw blurRad="50800" sx="101000" sy="101000" algn="ctr" rotWithShape="0">
              <a:prstClr val="black">
                <a:alpha val="4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mc:AlternateContent xmlns:mc="http://schemas.openxmlformats.org/markup-compatibility/2006">
        <mc:Choice xmlns:a14="http://schemas.microsoft.com/office/drawing/2010/main" Requires="a14">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6646590" y="716063"/>
                <a:ext cx="1867171" cy="390525"/>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1" i="0" u="none" strike="noStrike" baseline="0">
                    <a:solidFill>
                      <a:srgbClr val="000000"/>
                    </a:solidFill>
                    <a:latin typeface="Calibri" pitchFamily="2" charset="0"/>
                    <a:cs typeface="Calibri" pitchFamily="2" charset="0"/>
                  </a:rPr>
                  <a:t>Add 5 New Sheets</a:t>
                </a:r>
              </a:p>
            </xdr:txBody>
          </xdr:sp>
        </mc:Choice>
        <mc:Fallback/>
      </mc:AlternateContent>
    </xdr:grp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44705" y="86015"/>
          <a:ext cx="15834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00000000-0008-0000-0100-000003000000}"/>
            </a:ext>
          </a:extLst>
        </xdr:cNvPr>
        <xdr:cNvCxnSpPr/>
      </xdr:nvCxnSpPr>
      <xdr:spPr>
        <a:xfrm>
          <a:off x="57150" y="225138"/>
          <a:ext cx="5399520"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00000000-0008-0000-0100-000004000000}"/>
            </a:ext>
          </a:extLst>
        </xdr:cNvPr>
        <xdr:cNvSpPr/>
      </xdr:nvSpPr>
      <xdr:spPr>
        <a:xfrm>
          <a:off x="5733184" y="629229"/>
          <a:ext cx="1205923" cy="30739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00000000-0008-0000-0100-000005000000}"/>
            </a:ext>
          </a:extLst>
        </xdr:cNvPr>
        <xdr:cNvSpPr/>
      </xdr:nvSpPr>
      <xdr:spPr>
        <a:xfrm>
          <a:off x="5741843" y="1018884"/>
          <a:ext cx="1209387"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2E6CCFDC-A031-7A4F-9E61-A2A27F8D54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22480" y="86015"/>
          <a:ext cx="15707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A3043CE9-AECB-114B-80AA-4652292DD03C}"/>
            </a:ext>
          </a:extLst>
        </xdr:cNvPr>
        <xdr:cNvCxnSpPr/>
      </xdr:nvCxnSpPr>
      <xdr:spPr>
        <a:xfrm>
          <a:off x="57150" y="225138"/>
          <a:ext cx="5377295"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4CC5F7F5-8B61-624F-A15C-824AC2001251}"/>
            </a:ext>
          </a:extLst>
        </xdr:cNvPr>
        <xdr:cNvSpPr/>
      </xdr:nvSpPr>
      <xdr:spPr>
        <a:xfrm>
          <a:off x="5704609" y="629229"/>
          <a:ext cx="1199573" cy="310572"/>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075033CE-0D41-AB45-9694-F240CD07ACD0}"/>
            </a:ext>
          </a:extLst>
        </xdr:cNvPr>
        <xdr:cNvSpPr/>
      </xdr:nvSpPr>
      <xdr:spPr>
        <a:xfrm>
          <a:off x="5696816" y="1021770"/>
          <a:ext cx="119957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59513D3D-90E0-5644-A463-563DAC1998E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22480" y="86015"/>
          <a:ext cx="15707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79DF3607-FA7A-A849-B162-0D7A77201054}"/>
            </a:ext>
          </a:extLst>
        </xdr:cNvPr>
        <xdr:cNvCxnSpPr/>
      </xdr:nvCxnSpPr>
      <xdr:spPr>
        <a:xfrm>
          <a:off x="57150" y="225138"/>
          <a:ext cx="5377295"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BD97D1F0-6E6F-134B-9337-314190504FAF}"/>
            </a:ext>
          </a:extLst>
        </xdr:cNvPr>
        <xdr:cNvSpPr/>
      </xdr:nvSpPr>
      <xdr:spPr>
        <a:xfrm>
          <a:off x="5704609" y="629229"/>
          <a:ext cx="1199573" cy="310572"/>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F033E5D2-F4C9-9444-8286-8448E328F8CC}"/>
            </a:ext>
          </a:extLst>
        </xdr:cNvPr>
        <xdr:cNvSpPr/>
      </xdr:nvSpPr>
      <xdr:spPr>
        <a:xfrm>
          <a:off x="5696816" y="1021770"/>
          <a:ext cx="119957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7526F79F-6BAB-0146-BED5-0E4B5C534FD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22480" y="86015"/>
          <a:ext cx="15707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2ECB81FF-27E4-714A-A731-FC99DCCC645B}"/>
            </a:ext>
          </a:extLst>
        </xdr:cNvPr>
        <xdr:cNvCxnSpPr/>
      </xdr:nvCxnSpPr>
      <xdr:spPr>
        <a:xfrm>
          <a:off x="57150" y="225138"/>
          <a:ext cx="5377295"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E44560D0-4D6B-554F-B02C-C38A52DC3304}"/>
            </a:ext>
          </a:extLst>
        </xdr:cNvPr>
        <xdr:cNvSpPr/>
      </xdr:nvSpPr>
      <xdr:spPr>
        <a:xfrm>
          <a:off x="5704609" y="629229"/>
          <a:ext cx="1199573" cy="310572"/>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B03C7FB9-5678-6A46-8D02-CF08DD89F473}"/>
            </a:ext>
          </a:extLst>
        </xdr:cNvPr>
        <xdr:cNvSpPr/>
      </xdr:nvSpPr>
      <xdr:spPr>
        <a:xfrm>
          <a:off x="5696816" y="1021770"/>
          <a:ext cx="119957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59A96FDA-787C-064F-B9FF-75F76766ABB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22480" y="86015"/>
          <a:ext cx="15707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57C84AB7-C4BF-DC4F-8956-FF054B3A4F22}"/>
            </a:ext>
          </a:extLst>
        </xdr:cNvPr>
        <xdr:cNvCxnSpPr/>
      </xdr:nvCxnSpPr>
      <xdr:spPr>
        <a:xfrm>
          <a:off x="57150" y="225138"/>
          <a:ext cx="5377295"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3CDE6CBE-20CE-2245-9C7A-15A78C57FB52}"/>
            </a:ext>
          </a:extLst>
        </xdr:cNvPr>
        <xdr:cNvSpPr/>
      </xdr:nvSpPr>
      <xdr:spPr>
        <a:xfrm>
          <a:off x="5704609" y="629229"/>
          <a:ext cx="1199573" cy="310572"/>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C9B3EE34-8471-7148-8D5A-D2471FAEAF22}"/>
            </a:ext>
          </a:extLst>
        </xdr:cNvPr>
        <xdr:cNvSpPr/>
      </xdr:nvSpPr>
      <xdr:spPr>
        <a:xfrm>
          <a:off x="5696816" y="1021770"/>
          <a:ext cx="119957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44705" y="86015"/>
          <a:ext cx="15834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00000000-0008-0000-0200-000003000000}"/>
            </a:ext>
          </a:extLst>
        </xdr:cNvPr>
        <xdr:cNvCxnSpPr/>
      </xdr:nvCxnSpPr>
      <xdr:spPr>
        <a:xfrm>
          <a:off x="57150" y="225138"/>
          <a:ext cx="5399520"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00000000-0008-0000-0200-000004000000}"/>
            </a:ext>
          </a:extLst>
        </xdr:cNvPr>
        <xdr:cNvSpPr/>
      </xdr:nvSpPr>
      <xdr:spPr>
        <a:xfrm>
          <a:off x="5733184" y="629229"/>
          <a:ext cx="1205923" cy="30739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00000000-0008-0000-0200-000005000000}"/>
            </a:ext>
          </a:extLst>
        </xdr:cNvPr>
        <xdr:cNvSpPr/>
      </xdr:nvSpPr>
      <xdr:spPr>
        <a:xfrm>
          <a:off x="5725391" y="1015420"/>
          <a:ext cx="120592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42E6F49C-4846-104D-BBCD-2AFFC2516A6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22480" y="86015"/>
          <a:ext cx="15707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50B147D2-8CB3-6C4B-8D6E-4397E71701B9}"/>
            </a:ext>
          </a:extLst>
        </xdr:cNvPr>
        <xdr:cNvCxnSpPr/>
      </xdr:nvCxnSpPr>
      <xdr:spPr>
        <a:xfrm>
          <a:off x="57150" y="225138"/>
          <a:ext cx="5377295"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AC929F50-28B5-E146-8FDA-F2DA9C7A755A}"/>
            </a:ext>
          </a:extLst>
        </xdr:cNvPr>
        <xdr:cNvSpPr/>
      </xdr:nvSpPr>
      <xdr:spPr>
        <a:xfrm>
          <a:off x="5704609" y="629229"/>
          <a:ext cx="1199573" cy="310572"/>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124692B6-6275-BD49-8C5D-4F5201EC8586}"/>
            </a:ext>
          </a:extLst>
        </xdr:cNvPr>
        <xdr:cNvSpPr/>
      </xdr:nvSpPr>
      <xdr:spPr>
        <a:xfrm>
          <a:off x="5696816" y="1021770"/>
          <a:ext cx="119957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DB4ACF9D-331E-FD47-9AE7-D1560D5E264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22480" y="86015"/>
          <a:ext cx="15707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193C240B-FBA3-E54F-950C-26AEF882EF27}"/>
            </a:ext>
          </a:extLst>
        </xdr:cNvPr>
        <xdr:cNvCxnSpPr/>
      </xdr:nvCxnSpPr>
      <xdr:spPr>
        <a:xfrm>
          <a:off x="57150" y="225138"/>
          <a:ext cx="5377295"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DF0391AF-37CF-0E4A-89EF-EDE6D3601650}"/>
            </a:ext>
          </a:extLst>
        </xdr:cNvPr>
        <xdr:cNvSpPr/>
      </xdr:nvSpPr>
      <xdr:spPr>
        <a:xfrm>
          <a:off x="5704609" y="629229"/>
          <a:ext cx="1199573" cy="310572"/>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D7EF9D56-9B07-8E45-8D31-6720235B5235}"/>
            </a:ext>
          </a:extLst>
        </xdr:cNvPr>
        <xdr:cNvSpPr/>
      </xdr:nvSpPr>
      <xdr:spPr>
        <a:xfrm>
          <a:off x="5696816" y="1021770"/>
          <a:ext cx="119957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B14F628F-2782-C74D-822D-FA950DB772F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22480" y="86015"/>
          <a:ext cx="15707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4E4FD576-CDE7-E041-B6CA-B38A13A59459}"/>
            </a:ext>
          </a:extLst>
        </xdr:cNvPr>
        <xdr:cNvCxnSpPr/>
      </xdr:nvCxnSpPr>
      <xdr:spPr>
        <a:xfrm>
          <a:off x="57150" y="225138"/>
          <a:ext cx="5377295"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47739D4E-9DDD-EB4D-9253-C1DE0E83A697}"/>
            </a:ext>
          </a:extLst>
        </xdr:cNvPr>
        <xdr:cNvSpPr/>
      </xdr:nvSpPr>
      <xdr:spPr>
        <a:xfrm>
          <a:off x="5704609" y="629229"/>
          <a:ext cx="1199573" cy="310572"/>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79D5D49B-58E7-C943-B2DF-503C482505E4}"/>
            </a:ext>
          </a:extLst>
        </xdr:cNvPr>
        <xdr:cNvSpPr/>
      </xdr:nvSpPr>
      <xdr:spPr>
        <a:xfrm>
          <a:off x="5696816" y="1021770"/>
          <a:ext cx="119957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44705" y="86015"/>
          <a:ext cx="15834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00000000-0008-0000-0300-000003000000}"/>
            </a:ext>
          </a:extLst>
        </xdr:cNvPr>
        <xdr:cNvCxnSpPr/>
      </xdr:nvCxnSpPr>
      <xdr:spPr>
        <a:xfrm>
          <a:off x="57150" y="225138"/>
          <a:ext cx="5399520"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00000000-0008-0000-0300-000004000000}"/>
            </a:ext>
          </a:extLst>
        </xdr:cNvPr>
        <xdr:cNvSpPr/>
      </xdr:nvSpPr>
      <xdr:spPr>
        <a:xfrm>
          <a:off x="5733184" y="629229"/>
          <a:ext cx="1205923" cy="30739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00000000-0008-0000-0300-000005000000}"/>
            </a:ext>
          </a:extLst>
        </xdr:cNvPr>
        <xdr:cNvSpPr/>
      </xdr:nvSpPr>
      <xdr:spPr>
        <a:xfrm>
          <a:off x="5725391" y="1015420"/>
          <a:ext cx="120592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0D6995DA-F892-4B45-B20C-023B57DD5DE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22480" y="86015"/>
          <a:ext cx="15707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AA85727D-D17B-E547-9B43-0A11555D5E26}"/>
            </a:ext>
          </a:extLst>
        </xdr:cNvPr>
        <xdr:cNvCxnSpPr/>
      </xdr:nvCxnSpPr>
      <xdr:spPr>
        <a:xfrm>
          <a:off x="57150" y="225138"/>
          <a:ext cx="5377295"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6400A063-81AD-614A-A744-74190589DA34}"/>
            </a:ext>
          </a:extLst>
        </xdr:cNvPr>
        <xdr:cNvSpPr/>
      </xdr:nvSpPr>
      <xdr:spPr>
        <a:xfrm>
          <a:off x="5704609" y="629229"/>
          <a:ext cx="1199573" cy="310572"/>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6CDAF6F9-C01B-2E4C-9886-91D4846D30B2}"/>
            </a:ext>
          </a:extLst>
        </xdr:cNvPr>
        <xdr:cNvSpPr/>
      </xdr:nvSpPr>
      <xdr:spPr>
        <a:xfrm>
          <a:off x="5696816" y="1021770"/>
          <a:ext cx="119957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041FD1A5-8FFE-EB4D-AC70-4F0C9E57D54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22480" y="86015"/>
          <a:ext cx="15707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DAE485CD-37ED-D744-93CA-59606DA12C28}"/>
            </a:ext>
          </a:extLst>
        </xdr:cNvPr>
        <xdr:cNvCxnSpPr/>
      </xdr:nvCxnSpPr>
      <xdr:spPr>
        <a:xfrm>
          <a:off x="57150" y="225138"/>
          <a:ext cx="5377295"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01F3170F-8D43-5F40-8CD0-2141E54E5EEE}"/>
            </a:ext>
          </a:extLst>
        </xdr:cNvPr>
        <xdr:cNvSpPr/>
      </xdr:nvSpPr>
      <xdr:spPr>
        <a:xfrm>
          <a:off x="5704609" y="629229"/>
          <a:ext cx="1199573" cy="310572"/>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087ADECD-789A-DC4C-B1D2-75D76D19D44A}"/>
            </a:ext>
          </a:extLst>
        </xdr:cNvPr>
        <xdr:cNvSpPr/>
      </xdr:nvSpPr>
      <xdr:spPr>
        <a:xfrm>
          <a:off x="5696816" y="1021770"/>
          <a:ext cx="119957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613F6F82-9017-BB4A-947C-35B8913891E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22480" y="86015"/>
          <a:ext cx="15707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EDAFF946-4966-0246-A539-335F542D7A6F}"/>
            </a:ext>
          </a:extLst>
        </xdr:cNvPr>
        <xdr:cNvCxnSpPr/>
      </xdr:nvCxnSpPr>
      <xdr:spPr>
        <a:xfrm>
          <a:off x="57150" y="225138"/>
          <a:ext cx="5377295"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83192AC6-D9F3-3147-8DE4-C54F7B7475E3}"/>
            </a:ext>
          </a:extLst>
        </xdr:cNvPr>
        <xdr:cNvSpPr/>
      </xdr:nvSpPr>
      <xdr:spPr>
        <a:xfrm>
          <a:off x="5704609" y="629229"/>
          <a:ext cx="1199573" cy="310572"/>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62397443-D63E-B448-BF00-20630EAF238A}"/>
            </a:ext>
          </a:extLst>
        </xdr:cNvPr>
        <xdr:cNvSpPr/>
      </xdr:nvSpPr>
      <xdr:spPr>
        <a:xfrm>
          <a:off x="5696816" y="1021770"/>
          <a:ext cx="119957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44705" y="86015"/>
          <a:ext cx="15834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00000000-0008-0000-0400-000003000000}"/>
            </a:ext>
          </a:extLst>
        </xdr:cNvPr>
        <xdr:cNvCxnSpPr/>
      </xdr:nvCxnSpPr>
      <xdr:spPr>
        <a:xfrm>
          <a:off x="57150" y="225138"/>
          <a:ext cx="5399520"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00000000-0008-0000-0400-000004000000}"/>
            </a:ext>
          </a:extLst>
        </xdr:cNvPr>
        <xdr:cNvSpPr/>
      </xdr:nvSpPr>
      <xdr:spPr>
        <a:xfrm>
          <a:off x="5733184" y="629229"/>
          <a:ext cx="1205923" cy="30739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00000000-0008-0000-0400-000005000000}"/>
            </a:ext>
          </a:extLst>
        </xdr:cNvPr>
        <xdr:cNvSpPr/>
      </xdr:nvSpPr>
      <xdr:spPr>
        <a:xfrm>
          <a:off x="5725391" y="1015420"/>
          <a:ext cx="120592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44705" y="86015"/>
          <a:ext cx="15834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a:off x="57150" y="225138"/>
          <a:ext cx="5399520"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00000000-0008-0000-0500-000004000000}"/>
            </a:ext>
          </a:extLst>
        </xdr:cNvPr>
        <xdr:cNvSpPr/>
      </xdr:nvSpPr>
      <xdr:spPr>
        <a:xfrm>
          <a:off x="5733184" y="629229"/>
          <a:ext cx="1205923" cy="30739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00000000-0008-0000-0500-000005000000}"/>
            </a:ext>
          </a:extLst>
        </xdr:cNvPr>
        <xdr:cNvSpPr/>
      </xdr:nvSpPr>
      <xdr:spPr>
        <a:xfrm>
          <a:off x="5725391" y="1015420"/>
          <a:ext cx="120592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362B102A-B93C-7347-A0C1-AE8FB284532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22480" y="86015"/>
          <a:ext cx="15707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6954A1DC-48F8-6F41-AF5E-B3B96832DCA9}"/>
            </a:ext>
          </a:extLst>
        </xdr:cNvPr>
        <xdr:cNvCxnSpPr/>
      </xdr:nvCxnSpPr>
      <xdr:spPr>
        <a:xfrm>
          <a:off x="57150" y="225138"/>
          <a:ext cx="5377295"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565A8277-D0F4-E343-A8EB-D627A01E657B}"/>
            </a:ext>
          </a:extLst>
        </xdr:cNvPr>
        <xdr:cNvSpPr/>
      </xdr:nvSpPr>
      <xdr:spPr>
        <a:xfrm>
          <a:off x="5704609" y="629229"/>
          <a:ext cx="1199573" cy="310572"/>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95CFE72A-BAC8-F04E-A183-801E4A39019D}"/>
            </a:ext>
          </a:extLst>
        </xdr:cNvPr>
        <xdr:cNvSpPr/>
      </xdr:nvSpPr>
      <xdr:spPr>
        <a:xfrm>
          <a:off x="5696816" y="1021770"/>
          <a:ext cx="119957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44705" y="86015"/>
          <a:ext cx="15834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a:off x="57150" y="225138"/>
          <a:ext cx="5399520"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00000000-0008-0000-0600-000004000000}"/>
            </a:ext>
          </a:extLst>
        </xdr:cNvPr>
        <xdr:cNvSpPr/>
      </xdr:nvSpPr>
      <xdr:spPr>
        <a:xfrm>
          <a:off x="5733184" y="629229"/>
          <a:ext cx="1205923" cy="30739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00000000-0008-0000-0600-000005000000}"/>
            </a:ext>
          </a:extLst>
        </xdr:cNvPr>
        <xdr:cNvSpPr/>
      </xdr:nvSpPr>
      <xdr:spPr>
        <a:xfrm>
          <a:off x="5725391" y="1015420"/>
          <a:ext cx="120592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8E209F58-DCAE-6745-89E4-F304BE5BAA4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22480" y="86015"/>
          <a:ext cx="15707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CB384E99-ED96-704C-90D4-C2909198E8E5}"/>
            </a:ext>
          </a:extLst>
        </xdr:cNvPr>
        <xdr:cNvCxnSpPr/>
      </xdr:nvCxnSpPr>
      <xdr:spPr>
        <a:xfrm>
          <a:off x="57150" y="225138"/>
          <a:ext cx="5377295"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EDF06290-86CB-3947-B0F6-2E19B8E3235E}"/>
            </a:ext>
          </a:extLst>
        </xdr:cNvPr>
        <xdr:cNvSpPr/>
      </xdr:nvSpPr>
      <xdr:spPr>
        <a:xfrm>
          <a:off x="5704609" y="629229"/>
          <a:ext cx="1199573" cy="310572"/>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14B07240-654D-8F4F-8113-F87BED3E25AA}"/>
            </a:ext>
          </a:extLst>
        </xdr:cNvPr>
        <xdr:cNvSpPr/>
      </xdr:nvSpPr>
      <xdr:spPr>
        <a:xfrm>
          <a:off x="5696816" y="1021770"/>
          <a:ext cx="119957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20.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56F63D0F-E893-0648-B201-B24B8C2CB3C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22480" y="86015"/>
          <a:ext cx="15707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75F628EF-C57E-6343-8B29-E78B3AA13F14}"/>
            </a:ext>
          </a:extLst>
        </xdr:cNvPr>
        <xdr:cNvCxnSpPr/>
      </xdr:nvCxnSpPr>
      <xdr:spPr>
        <a:xfrm>
          <a:off x="57150" y="225138"/>
          <a:ext cx="5377295"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EC965EA1-879A-034F-8DCE-2068AB51BB44}"/>
            </a:ext>
          </a:extLst>
        </xdr:cNvPr>
        <xdr:cNvSpPr/>
      </xdr:nvSpPr>
      <xdr:spPr>
        <a:xfrm>
          <a:off x="5704609" y="629229"/>
          <a:ext cx="1199573" cy="310572"/>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2A546368-F0C1-0C4C-9238-40CA446BB211}"/>
            </a:ext>
          </a:extLst>
        </xdr:cNvPr>
        <xdr:cNvSpPr/>
      </xdr:nvSpPr>
      <xdr:spPr>
        <a:xfrm>
          <a:off x="5696816" y="1021770"/>
          <a:ext cx="119957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21.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BEB71A1E-33EB-F343-9A0F-A321ABA47A9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22480" y="86015"/>
          <a:ext cx="15707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CCDAF247-8C1C-3C43-A112-F6B064A0E030}"/>
            </a:ext>
          </a:extLst>
        </xdr:cNvPr>
        <xdr:cNvCxnSpPr/>
      </xdr:nvCxnSpPr>
      <xdr:spPr>
        <a:xfrm>
          <a:off x="57150" y="225138"/>
          <a:ext cx="5377295"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27938A97-864D-144C-AC3D-3CB78362044A}"/>
            </a:ext>
          </a:extLst>
        </xdr:cNvPr>
        <xdr:cNvSpPr/>
      </xdr:nvSpPr>
      <xdr:spPr>
        <a:xfrm>
          <a:off x="5704609" y="629229"/>
          <a:ext cx="1199573" cy="310572"/>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62AF9926-1F49-9B49-9C6A-0FB3698D0B8F}"/>
            </a:ext>
          </a:extLst>
        </xdr:cNvPr>
        <xdr:cNvSpPr/>
      </xdr:nvSpPr>
      <xdr:spPr>
        <a:xfrm>
          <a:off x="5696816" y="1021770"/>
          <a:ext cx="119957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22.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2931C613-4937-5D4C-8240-755D023861F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22480" y="86015"/>
          <a:ext cx="15707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E21F680A-639D-1F4F-9CAE-B52FCF882F22}"/>
            </a:ext>
          </a:extLst>
        </xdr:cNvPr>
        <xdr:cNvCxnSpPr/>
      </xdr:nvCxnSpPr>
      <xdr:spPr>
        <a:xfrm>
          <a:off x="57150" y="225138"/>
          <a:ext cx="5377295"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BFF8FC22-065A-084A-BE50-467EFB9AE8E7}"/>
            </a:ext>
          </a:extLst>
        </xdr:cNvPr>
        <xdr:cNvSpPr/>
      </xdr:nvSpPr>
      <xdr:spPr>
        <a:xfrm>
          <a:off x="5704609" y="629229"/>
          <a:ext cx="1199573" cy="310572"/>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E1CF9DCB-3372-424C-B15C-21A282F71B98}"/>
            </a:ext>
          </a:extLst>
        </xdr:cNvPr>
        <xdr:cNvSpPr/>
      </xdr:nvSpPr>
      <xdr:spPr>
        <a:xfrm>
          <a:off x="5696816" y="1021770"/>
          <a:ext cx="119957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23.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7048D583-621A-7141-82F3-D6DD64993DF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22480" y="86015"/>
          <a:ext cx="15707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F7C600B8-A6DE-D74C-B0E5-3E96EBDF20B4}"/>
            </a:ext>
          </a:extLst>
        </xdr:cNvPr>
        <xdr:cNvCxnSpPr/>
      </xdr:nvCxnSpPr>
      <xdr:spPr>
        <a:xfrm>
          <a:off x="57150" y="225138"/>
          <a:ext cx="5377295"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95BECFC9-CE9B-8241-8C60-087D70013B8E}"/>
            </a:ext>
          </a:extLst>
        </xdr:cNvPr>
        <xdr:cNvSpPr/>
      </xdr:nvSpPr>
      <xdr:spPr>
        <a:xfrm>
          <a:off x="5704609" y="629229"/>
          <a:ext cx="1199573" cy="310572"/>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ECD454DA-D6BC-4049-985E-F6D98E4E2438}"/>
            </a:ext>
          </a:extLst>
        </xdr:cNvPr>
        <xdr:cNvSpPr/>
      </xdr:nvSpPr>
      <xdr:spPr>
        <a:xfrm>
          <a:off x="5696816" y="1021770"/>
          <a:ext cx="119957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24.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1468CDC2-DF79-B942-A066-BA69ADF9CEE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22480" y="86015"/>
          <a:ext cx="15707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A49FCE22-AB31-1E41-905F-AF75A2965509}"/>
            </a:ext>
          </a:extLst>
        </xdr:cNvPr>
        <xdr:cNvCxnSpPr/>
      </xdr:nvCxnSpPr>
      <xdr:spPr>
        <a:xfrm>
          <a:off x="57150" y="225138"/>
          <a:ext cx="5377295"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1C194C51-CE19-E943-871A-61AA71462FFE}"/>
            </a:ext>
          </a:extLst>
        </xdr:cNvPr>
        <xdr:cNvSpPr/>
      </xdr:nvSpPr>
      <xdr:spPr>
        <a:xfrm>
          <a:off x="5704609" y="629229"/>
          <a:ext cx="1199573" cy="310572"/>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6500AEE1-84FD-0B41-9AC1-86835347BFB1}"/>
            </a:ext>
          </a:extLst>
        </xdr:cNvPr>
        <xdr:cNvSpPr/>
      </xdr:nvSpPr>
      <xdr:spPr>
        <a:xfrm>
          <a:off x="5696816" y="1021770"/>
          <a:ext cx="119957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25.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6874017D-B5DD-E04D-9431-72C17DE64B8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22480" y="86015"/>
          <a:ext cx="15707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DFC4A317-17BA-424F-A88C-4B886C624A55}"/>
            </a:ext>
          </a:extLst>
        </xdr:cNvPr>
        <xdr:cNvCxnSpPr/>
      </xdr:nvCxnSpPr>
      <xdr:spPr>
        <a:xfrm>
          <a:off x="57150" y="225138"/>
          <a:ext cx="5377295"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04A7B6FC-DE24-324E-9D6C-9AC4B72204EC}"/>
            </a:ext>
          </a:extLst>
        </xdr:cNvPr>
        <xdr:cNvSpPr/>
      </xdr:nvSpPr>
      <xdr:spPr>
        <a:xfrm>
          <a:off x="5704609" y="629229"/>
          <a:ext cx="1199573" cy="310572"/>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2B910CC0-4B92-134D-BF17-54B603863775}"/>
            </a:ext>
          </a:extLst>
        </xdr:cNvPr>
        <xdr:cNvSpPr/>
      </xdr:nvSpPr>
      <xdr:spPr>
        <a:xfrm>
          <a:off x="5696816" y="1021770"/>
          <a:ext cx="119957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26.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079141E0-E558-6D4C-85A4-DEA543E3C9C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22480" y="86015"/>
          <a:ext cx="15707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0D041B0B-A4DF-1B4A-AF4C-4EE0EB1BB641}"/>
            </a:ext>
          </a:extLst>
        </xdr:cNvPr>
        <xdr:cNvCxnSpPr/>
      </xdr:nvCxnSpPr>
      <xdr:spPr>
        <a:xfrm>
          <a:off x="57150" y="225138"/>
          <a:ext cx="5377295"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EB999184-A6B3-194C-9000-43A737D44296}"/>
            </a:ext>
          </a:extLst>
        </xdr:cNvPr>
        <xdr:cNvSpPr/>
      </xdr:nvSpPr>
      <xdr:spPr>
        <a:xfrm>
          <a:off x="5704609" y="629229"/>
          <a:ext cx="1199573" cy="310572"/>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640A3519-3803-D340-9F90-8C4BDEE1A0B1}"/>
            </a:ext>
          </a:extLst>
        </xdr:cNvPr>
        <xdr:cNvSpPr/>
      </xdr:nvSpPr>
      <xdr:spPr>
        <a:xfrm>
          <a:off x="5696816" y="1021770"/>
          <a:ext cx="119957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27.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C9968D54-64C4-CA4D-8DF5-4635FAF19FC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22480" y="86015"/>
          <a:ext cx="15707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C668E182-EE6E-CD4C-8F55-F06A232EF9F2}"/>
            </a:ext>
          </a:extLst>
        </xdr:cNvPr>
        <xdr:cNvCxnSpPr/>
      </xdr:nvCxnSpPr>
      <xdr:spPr>
        <a:xfrm>
          <a:off x="57150" y="225138"/>
          <a:ext cx="5377295"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74F72B62-1EDD-ED47-8F88-A68F63ADEDD6}"/>
            </a:ext>
          </a:extLst>
        </xdr:cNvPr>
        <xdr:cNvSpPr/>
      </xdr:nvSpPr>
      <xdr:spPr>
        <a:xfrm>
          <a:off x="5704609" y="629229"/>
          <a:ext cx="1199573" cy="310572"/>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C9B013B1-A472-7E45-9E5E-FB5A1F8E01BA}"/>
            </a:ext>
          </a:extLst>
        </xdr:cNvPr>
        <xdr:cNvSpPr/>
      </xdr:nvSpPr>
      <xdr:spPr>
        <a:xfrm>
          <a:off x="5696816" y="1021770"/>
          <a:ext cx="119957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drawings/drawing28.xml><?xml version="1.0" encoding="utf-8"?>
<xdr:wsDr xmlns:xdr="http://schemas.openxmlformats.org/drawingml/2006/spreadsheetDrawing" xmlns:a="http://schemas.openxmlformats.org/drawingml/2006/main">
  <xdr:twoCellAnchor editAs="absolute">
    <xdr:from>
      <xdr:col>4</xdr:col>
      <xdr:colOff>925080</xdr:colOff>
      <xdr:row>0</xdr:row>
      <xdr:rowOff>86015</xdr:rowOff>
    </xdr:from>
    <xdr:to>
      <xdr:col>6</xdr:col>
      <xdr:colOff>489203</xdr:colOff>
      <xdr:row>1</xdr:row>
      <xdr:rowOff>143832</xdr:rowOff>
    </xdr:to>
    <xdr:pic>
      <xdr:nvPicPr>
        <xdr:cNvPr id="2" name="Picture 1">
          <a:hlinkClick xmlns:r="http://schemas.openxmlformats.org/officeDocument/2006/relationships" r:id="rId1"/>
          <a:extLst>
            <a:ext uri="{FF2B5EF4-FFF2-40B4-BE49-F238E27FC236}">
              <a16:creationId xmlns:a16="http://schemas.microsoft.com/office/drawing/2014/main" id="{9DA952F5-3A40-5E4F-A89D-9A3A3748F38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22480" y="86015"/>
          <a:ext cx="1570723" cy="248317"/>
        </a:xfrm>
        <a:prstGeom prst="rect">
          <a:avLst/>
        </a:prstGeom>
      </xdr:spPr>
    </xdr:pic>
    <xdr:clientData/>
  </xdr:twoCellAnchor>
  <xdr:twoCellAnchor editAs="absolute">
    <xdr:from>
      <xdr:col>0</xdr:col>
      <xdr:colOff>57150</xdr:colOff>
      <xdr:row>1</xdr:row>
      <xdr:rowOff>34638</xdr:rowOff>
    </xdr:from>
    <xdr:to>
      <xdr:col>4</xdr:col>
      <xdr:colOff>837045</xdr:colOff>
      <xdr:row>1</xdr:row>
      <xdr:rowOff>34638</xdr:rowOff>
    </xdr:to>
    <xdr:cxnSp macro="">
      <xdr:nvCxnSpPr>
        <xdr:cNvPr id="3" name="Straight Arrow Connector 2">
          <a:extLst>
            <a:ext uri="{FF2B5EF4-FFF2-40B4-BE49-F238E27FC236}">
              <a16:creationId xmlns:a16="http://schemas.microsoft.com/office/drawing/2014/main" id="{2C9D7048-D515-0D4C-9717-7CD72C288C57}"/>
            </a:ext>
          </a:extLst>
        </xdr:cNvPr>
        <xdr:cNvCxnSpPr/>
      </xdr:nvCxnSpPr>
      <xdr:spPr>
        <a:xfrm>
          <a:off x="57150" y="225138"/>
          <a:ext cx="5377295" cy="0"/>
        </a:xfrm>
        <a:prstGeom prst="straightConnector1">
          <a:avLst/>
        </a:prstGeom>
        <a:ln w="3175" cap="rnd">
          <a:solidFill>
            <a:schemeClr val="accent2"/>
          </a:solidFill>
          <a:prstDash val="sysDash"/>
          <a:bevel/>
          <a:headEnd type="oval" w="sm" len="sm"/>
          <a:tailEnd type="stealth"/>
        </a:ln>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5</xdr:col>
      <xdr:colOff>103909</xdr:colOff>
      <xdr:row>3</xdr:row>
      <xdr:rowOff>57729</xdr:rowOff>
    </xdr:from>
    <xdr:to>
      <xdr:col>6</xdr:col>
      <xdr:colOff>300182</xdr:colOff>
      <xdr:row>4</xdr:row>
      <xdr:rowOff>127001</xdr:rowOff>
    </xdr:to>
    <xdr:sp macro="" textlink="">
      <xdr:nvSpPr>
        <xdr:cNvPr id="4" name="Rectangle: Rounded Corners 3">
          <a:hlinkClick xmlns:r="http://schemas.openxmlformats.org/officeDocument/2006/relationships" r:id="rId3" tooltip="(clickable button)"/>
          <a:extLst>
            <a:ext uri="{FF2B5EF4-FFF2-40B4-BE49-F238E27FC236}">
              <a16:creationId xmlns:a16="http://schemas.microsoft.com/office/drawing/2014/main" id="{D62DA161-02CB-014C-8465-F929FA3D4A0B}"/>
            </a:ext>
          </a:extLst>
        </xdr:cNvPr>
        <xdr:cNvSpPr/>
      </xdr:nvSpPr>
      <xdr:spPr>
        <a:xfrm>
          <a:off x="5704609" y="629229"/>
          <a:ext cx="1199573" cy="310572"/>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Return</a:t>
          </a:r>
          <a:r>
            <a:rPr lang="en-AU" sz="1000" b="1" baseline="0">
              <a:solidFill>
                <a:schemeClr val="bg1"/>
              </a:solidFill>
            </a:rPr>
            <a:t> to TOC</a:t>
          </a:r>
          <a:endParaRPr lang="en-AU" sz="1000" b="1">
            <a:solidFill>
              <a:schemeClr val="bg1"/>
            </a:solidFill>
          </a:endParaRPr>
        </a:p>
      </xdr:txBody>
    </xdr:sp>
    <xdr:clientData fPrintsWithSheet="0"/>
  </xdr:twoCellAnchor>
  <xdr:twoCellAnchor editAs="absolute">
    <xdr:from>
      <xdr:col>5</xdr:col>
      <xdr:colOff>96116</xdr:colOff>
      <xdr:row>5</xdr:row>
      <xdr:rowOff>5770</xdr:rowOff>
    </xdr:from>
    <xdr:to>
      <xdr:col>6</xdr:col>
      <xdr:colOff>292389</xdr:colOff>
      <xdr:row>6</xdr:row>
      <xdr:rowOff>126997</xdr:rowOff>
    </xdr:to>
    <xdr:sp macro="[0]!Delete_Sheets" textlink="">
      <xdr:nvSpPr>
        <xdr:cNvPr id="5" name="Rectangle: Rounded Corners 4">
          <a:extLst>
            <a:ext uri="{FF2B5EF4-FFF2-40B4-BE49-F238E27FC236}">
              <a16:creationId xmlns:a16="http://schemas.microsoft.com/office/drawing/2014/main" id="{24864D0B-1A8A-CD42-AF61-E36964728CB9}"/>
            </a:ext>
          </a:extLst>
        </xdr:cNvPr>
        <xdr:cNvSpPr/>
      </xdr:nvSpPr>
      <xdr:spPr>
        <a:xfrm>
          <a:off x="5696816" y="1021770"/>
          <a:ext cx="1199573" cy="311727"/>
        </a:xfrm>
        <a:prstGeom prst="roundRect">
          <a:avLst/>
        </a:prstGeom>
        <a:solidFill>
          <a:schemeClr val="accent1">
            <a:lumMod val="50000"/>
          </a:schemeClr>
        </a:solidFill>
        <a:ln w="9525">
          <a:solidFill>
            <a:schemeClr val="accent1">
              <a:lumMod val="50000"/>
            </a:schemeClr>
          </a:solidFill>
        </a:ln>
        <a:effectLst>
          <a:outerShdw blurRad="50800" dist="25400" dir="2700000" algn="tl" rotWithShape="0">
            <a:prstClr val="black">
              <a:alpha val="41000"/>
            </a:prstClr>
          </a:outerShdw>
        </a:effectLst>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36000" tIns="36000" rIns="36000" bIns="36000" rtlCol="0" anchor="ctr"/>
        <a:lstStyle/>
        <a:p>
          <a:pPr algn="ctr"/>
          <a:r>
            <a:rPr lang="en-AU" sz="1000" b="1">
              <a:solidFill>
                <a:schemeClr val="bg1"/>
              </a:solidFill>
            </a:rPr>
            <a:t>Delete Sheet</a:t>
          </a:r>
        </a:p>
      </xdr:txBody>
    </xdr:sp>
    <xdr:clientData fPrintsWithSheet="0"/>
  </xdr:twoCellAnchor>
</xdr:wsDr>
</file>

<file path=xl/theme/theme1.xml><?xml version="1.0" encoding="utf-8"?>
<a:theme xmlns:a="http://schemas.openxmlformats.org/drawingml/2006/main" name="Office Theme">
  <a:themeElements>
    <a:clrScheme name="theFreedomTrader">
      <a:dk1>
        <a:sysClr val="windowText" lastClr="000000"/>
      </a:dk1>
      <a:lt1>
        <a:sysClr val="window" lastClr="FFFFFF"/>
      </a:lt1>
      <a:dk2>
        <a:srgbClr val="71685A"/>
      </a:dk2>
      <a:lt2>
        <a:srgbClr val="3E3D2D"/>
      </a:lt2>
      <a:accent1>
        <a:srgbClr val="9D90A0"/>
      </a:accent1>
      <a:accent2>
        <a:srgbClr val="1B9F80"/>
      </a:accent2>
      <a:accent3>
        <a:srgbClr val="F8AD00"/>
      </a:accent3>
      <a:accent4>
        <a:srgbClr val="23789E"/>
      </a:accent4>
      <a:accent5>
        <a:srgbClr val="3EA2BE"/>
      </a:accent5>
      <a:accent6>
        <a:srgbClr val="C41300"/>
      </a:accent6>
      <a:hlink>
        <a:srgbClr val="004E89"/>
      </a:hlink>
      <a:folHlink>
        <a:srgbClr val="004E89"/>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omments" Target="../comments1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omments" Target="../comments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omments" Target="../comments1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4" Type="http://schemas.openxmlformats.org/officeDocument/2006/relationships/comments" Target="../comments1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4" Type="http://schemas.openxmlformats.org/officeDocument/2006/relationships/comments" Target="../comments1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4" Type="http://schemas.openxmlformats.org/officeDocument/2006/relationships/comments" Target="../comments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omments" Target="../comments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1.bin"/><Relationship Id="rId4" Type="http://schemas.openxmlformats.org/officeDocument/2006/relationships/comments" Target="../comments20.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omments" Target="../comments2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omments" Target="../comments22.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omments" Target="../comments2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omments" Target="../comments2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omments" Target="../comments25.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omments" Target="../comments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omments" Target="../comments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FEA1-412C-4AB0-92F7-66DF64647731}">
  <sheetPr codeName="shTOC">
    <pageSetUpPr fitToPage="1"/>
  </sheetPr>
  <dimension ref="A1:P501"/>
  <sheetViews>
    <sheetView showGridLines="0" zoomScale="133" zoomScaleNormal="100" workbookViewId="0">
      <pane ySplit="1" topLeftCell="A2" activePane="bottomLeft" state="frozen"/>
      <selection pane="bottomLeft" activeCell="B16" sqref="B16"/>
    </sheetView>
  </sheetViews>
  <sheetFormatPr baseColWidth="10" defaultColWidth="0" defaultRowHeight="15" zeroHeight="1" x14ac:dyDescent="0.2"/>
  <cols>
    <col min="1" max="1" width="11.1640625" style="39" customWidth="1"/>
    <col min="2" max="2" width="11.1640625" style="59" customWidth="1"/>
    <col min="3" max="6" width="11.1640625" style="33" customWidth="1"/>
    <col min="7" max="7" width="16.33203125" style="37" customWidth="1"/>
    <col min="8" max="10" width="10.6640625" style="33" customWidth="1"/>
    <col min="11" max="11" width="49.6640625" style="33" customWidth="1"/>
    <col min="12" max="12" width="49.83203125" style="33" hidden="1" customWidth="1"/>
    <col min="13" max="13" width="10.6640625" style="33" hidden="1" customWidth="1"/>
    <col min="14" max="16" width="0" style="33" hidden="1" customWidth="1"/>
    <col min="17" max="16384" width="5.1640625" style="33" hidden="1"/>
  </cols>
  <sheetData>
    <row r="1" spans="1:7" ht="49" thickBot="1" x14ac:dyDescent="0.25">
      <c r="A1" s="38" t="s">
        <v>22</v>
      </c>
      <c r="B1" s="23" t="s">
        <v>1</v>
      </c>
      <c r="C1" s="23" t="s">
        <v>2</v>
      </c>
      <c r="D1" s="23" t="s">
        <v>23</v>
      </c>
      <c r="E1" s="23" t="s">
        <v>24</v>
      </c>
      <c r="F1" s="23" t="s">
        <v>25</v>
      </c>
      <c r="G1" s="24" t="s">
        <v>29</v>
      </c>
    </row>
    <row r="2" spans="1:7" ht="18" customHeight="1" x14ac:dyDescent="0.2">
      <c r="A2" s="64" cm="1">
        <f t="array" aca="1" ref="A2" ca="1">IFERROR(INDIRECT("'" &amp;$B2&amp; "'!$B$7"),"")</f>
        <v>0</v>
      </c>
      <c r="B2" s="65" t="s">
        <v>52</v>
      </c>
      <c r="C2" s="66" cm="1">
        <f t="array" aca="1" ref="C2" ca="1">IFERROR(INDIRECT("'" &amp;$B2&amp; "'!$B$9"),"")</f>
        <v>0</v>
      </c>
      <c r="D2" s="67" cm="1">
        <f t="array" aca="1" ref="D2" ca="1">IFERROR(INDIRECT("'" &amp;$B2&amp; "'!$B$27"),"")</f>
        <v>0</v>
      </c>
      <c r="E2" s="67" cm="1">
        <f t="array" aca="1" ref="E2" ca="1">IFERROR(INDIRECT("'" &amp;$B2&amp; "'!$C$27"),"")</f>
        <v>0</v>
      </c>
      <c r="F2" s="67" cm="1">
        <f t="array" aca="1" ref="F2" ca="1">IFERROR(INDIRECT("'" &amp;$B2&amp; "'!$D$27"),"")</f>
        <v>0</v>
      </c>
      <c r="G2" s="67" cm="1">
        <f t="array" aca="1" ref="G2" ca="1">IFERROR(INDIRECT("'" &amp;$B2&amp; "'!$B$32"),"")</f>
        <v>0</v>
      </c>
    </row>
    <row r="3" spans="1:7" ht="18" customHeight="1" x14ac:dyDescent="0.2">
      <c r="A3" s="60" cm="1">
        <f t="array" aca="1" ref="A3" ca="1">IFERROR(INDIRECT("'" &amp;$B3&amp; "'!$B$7"),"")</f>
        <v>0</v>
      </c>
      <c r="B3" s="61" t="s">
        <v>53</v>
      </c>
      <c r="C3" s="62" cm="1">
        <f t="array" aca="1" ref="C3" ca="1">IFERROR(INDIRECT("'" &amp;$B3&amp; "'!$B$9"),"")</f>
        <v>0</v>
      </c>
      <c r="D3" s="63" cm="1">
        <f t="array" aca="1" ref="D3" ca="1">IFERROR(INDIRECT("'" &amp;$B3&amp; "'!$B$27"),"")</f>
        <v>0</v>
      </c>
      <c r="E3" s="63" cm="1">
        <f t="array" aca="1" ref="E3" ca="1">IFERROR(INDIRECT("'" &amp;$B3&amp; "'!$C$27"),"")</f>
        <v>0</v>
      </c>
      <c r="F3" s="63" cm="1">
        <f t="array" aca="1" ref="F3" ca="1">IFERROR(INDIRECT("'" &amp;$B3&amp; "'!$D$27"),"")</f>
        <v>0</v>
      </c>
      <c r="G3" s="63" cm="1">
        <f t="array" aca="1" ref="G3" ca="1">IFERROR(INDIRECT("'" &amp;$B3&amp; "'!$B$32"),"")</f>
        <v>0</v>
      </c>
    </row>
    <row r="4" spans="1:7" ht="18" customHeight="1" x14ac:dyDescent="0.2">
      <c r="A4" s="60" cm="1">
        <f t="array" aca="1" ref="A4" ca="1">IFERROR(INDIRECT("'" &amp;$B4&amp; "'!$B$7"),"")</f>
        <v>46132</v>
      </c>
      <c r="B4" s="61" t="s">
        <v>40</v>
      </c>
      <c r="C4" s="62" cm="1">
        <f t="array" aca="1" ref="C4" ca="1">IFERROR(INDIRECT("'" &amp;$B4&amp; "'!$B$9"),"")</f>
        <v>229.94</v>
      </c>
      <c r="D4" s="63" cm="1">
        <f t="array" aca="1" ref="D4" ca="1">IFERROR(INDIRECT("'" &amp;$B4&amp; "'!$B$27"),"")</f>
        <v>0</v>
      </c>
      <c r="E4" s="63" cm="1">
        <f t="array" aca="1" ref="E4" ca="1">IFERROR(INDIRECT("'" &amp;$B4&amp; "'!$C$27"),"")</f>
        <v>0</v>
      </c>
      <c r="F4" s="63" cm="1">
        <f t="array" aca="1" ref="F4" ca="1">IFERROR(INDIRECT("'" &amp;$B4&amp; "'!$D$27"),"")</f>
        <v>0</v>
      </c>
      <c r="G4" s="63" cm="1">
        <f t="array" aca="1" ref="G4" ca="1">IFERROR(INDIRECT("'" &amp;$B4&amp; "'!$B$32"),"")</f>
        <v>0</v>
      </c>
    </row>
    <row r="5" spans="1:7" ht="18" customHeight="1" x14ac:dyDescent="0.2">
      <c r="A5" s="60" cm="1">
        <f t="array" aca="1" ref="A5" ca="1">IFERROR(INDIRECT("'" &amp;$B5&amp; "'!$B$7"),"")</f>
        <v>46130</v>
      </c>
      <c r="B5" s="61" t="s">
        <v>45</v>
      </c>
      <c r="C5" s="62" cm="1">
        <f t="array" aca="1" ref="C5" ca="1">IFERROR(INDIRECT("'" &amp;$B5&amp; "'!$B$9"),"")</f>
        <v>64.819999999999993</v>
      </c>
      <c r="D5" s="63" cm="1">
        <f t="array" aca="1" ref="D5" ca="1">IFERROR(INDIRECT("'" &amp;$B5&amp; "'!$B$27"),"")</f>
        <v>0</v>
      </c>
      <c r="E5" s="63" cm="1">
        <f t="array" aca="1" ref="E5" ca="1">IFERROR(INDIRECT("'" &amp;$B5&amp; "'!$C$27"),"")</f>
        <v>0</v>
      </c>
      <c r="F5" s="63" cm="1">
        <f t="array" aca="1" ref="F5" ca="1">IFERROR(INDIRECT("'" &amp;$B5&amp; "'!$D$27"),"")</f>
        <v>0</v>
      </c>
      <c r="G5" s="63" cm="1">
        <f t="array" aca="1" ref="G5" ca="1">IFERROR(INDIRECT("'" &amp;$B5&amp; "'!$B$32"),"")</f>
        <v>0</v>
      </c>
    </row>
    <row r="6" spans="1:7" ht="18" customHeight="1" x14ac:dyDescent="0.2">
      <c r="A6" s="60" cm="1">
        <f t="array" aca="1" ref="A6" ca="1">IFERROR(INDIRECT("'" &amp;$B6&amp; "'!$B$7"),"")</f>
        <v>46112</v>
      </c>
      <c r="B6" s="61" t="s">
        <v>30</v>
      </c>
      <c r="C6" s="62" cm="1">
        <f t="array" aca="1" ref="C6" ca="1">IFERROR(INDIRECT("'" &amp;$B6&amp; "'!$B$9"),"")</f>
        <v>1252.1600000000001</v>
      </c>
      <c r="D6" s="63" cm="1">
        <f t="array" aca="1" ref="D6" ca="1">IFERROR(INDIRECT("'" &amp;$B6&amp; "'!$B$27"),"")</f>
        <v>0</v>
      </c>
      <c r="E6" s="63" cm="1">
        <f t="array" aca="1" ref="E6" ca="1">IFERROR(INDIRECT("'" &amp;$B6&amp; "'!$C$27"),"")</f>
        <v>0</v>
      </c>
      <c r="F6" s="63" cm="1">
        <f t="array" aca="1" ref="F6" ca="1">IFERROR(INDIRECT("'" &amp;$B6&amp; "'!$D$27"),"")</f>
        <v>0</v>
      </c>
      <c r="G6" s="63" cm="1">
        <f t="array" aca="1" ref="G6" ca="1">IFERROR(INDIRECT("'" &amp;$B6&amp; "'!$B$32"),"")</f>
        <v>0</v>
      </c>
    </row>
    <row r="7" spans="1:7" ht="18" customHeight="1" x14ac:dyDescent="0.2">
      <c r="A7" s="60" cm="1">
        <f t="array" aca="1" ref="A7" ca="1">IFERROR(INDIRECT("'" &amp;$B7&amp; "'!$B$7"),"")</f>
        <v>46130</v>
      </c>
      <c r="B7" s="61" t="s">
        <v>44</v>
      </c>
      <c r="C7" s="62" cm="1">
        <f t="array" aca="1" ref="C7" ca="1">IFERROR(INDIRECT("'" &amp;$B7&amp; "'!$B$9"),"")</f>
        <v>115.54</v>
      </c>
      <c r="D7" s="63" cm="1">
        <f t="array" aca="1" ref="D7" ca="1">IFERROR(INDIRECT("'" &amp;$B7&amp; "'!$B$27"),"")</f>
        <v>0</v>
      </c>
      <c r="E7" s="63" cm="1">
        <f t="array" aca="1" ref="E7" ca="1">IFERROR(INDIRECT("'" &amp;$B7&amp; "'!$C$27"),"")</f>
        <v>0</v>
      </c>
      <c r="F7" s="63" cm="1">
        <f t="array" aca="1" ref="F7" ca="1">IFERROR(INDIRECT("'" &amp;$B7&amp; "'!$D$27"),"")</f>
        <v>0</v>
      </c>
      <c r="G7" s="63" cm="1">
        <f t="array" aca="1" ref="G7" ca="1">IFERROR(INDIRECT("'" &amp;$B7&amp; "'!$B$32"),"")</f>
        <v>0</v>
      </c>
    </row>
    <row r="8" spans="1:7" ht="18" customHeight="1" x14ac:dyDescent="0.2">
      <c r="A8" s="60" cm="1">
        <f t="array" aca="1" ref="A8" ca="1">IFERROR(INDIRECT("'" &amp;$B8&amp; "'!$B$7"),"")</f>
        <v>46139</v>
      </c>
      <c r="B8" s="61" t="s">
        <v>47</v>
      </c>
      <c r="C8" s="62" cm="1">
        <f t="array" aca="1" ref="C8" ca="1">IFERROR(INDIRECT("'" &amp;$B8&amp; "'!$B$9"),"")</f>
        <v>178.36</v>
      </c>
      <c r="D8" s="63" cm="1">
        <f t="array" aca="1" ref="D8" ca="1">IFERROR(INDIRECT("'" &amp;$B8&amp; "'!$B$27"),"")</f>
        <v>0</v>
      </c>
      <c r="E8" s="63" cm="1">
        <f t="array" aca="1" ref="E8" ca="1">IFERROR(INDIRECT("'" &amp;$B8&amp; "'!$C$27"),"")</f>
        <v>0</v>
      </c>
      <c r="F8" s="63" cm="1">
        <f t="array" aca="1" ref="F8" ca="1">IFERROR(INDIRECT("'" &amp;$B8&amp; "'!$D$27"),"")</f>
        <v>0</v>
      </c>
      <c r="G8" s="63" cm="1">
        <f t="array" aca="1" ref="G8" ca="1">IFERROR(INDIRECT("'" &amp;$B8&amp; "'!$B$32"),"")</f>
        <v>0</v>
      </c>
    </row>
    <row r="9" spans="1:7" ht="18" customHeight="1" x14ac:dyDescent="0.2">
      <c r="A9" s="60" cm="1">
        <f t="array" aca="1" ref="A9" ca="1">IFERROR(INDIRECT("'" &amp;$B9&amp; "'!$B$7"),"")</f>
        <v>46114</v>
      </c>
      <c r="B9" s="61" t="s">
        <v>38</v>
      </c>
      <c r="C9" s="62" cm="1">
        <f t="array" aca="1" ref="C9" ca="1">IFERROR(INDIRECT("'" &amp;$B9&amp; "'!$B$9"),"")</f>
        <v>28.05</v>
      </c>
      <c r="D9" s="63" cm="1">
        <f t="array" aca="1" ref="D9" ca="1">IFERROR(INDIRECT("'" &amp;$B9&amp; "'!$B$27"),"")</f>
        <v>0</v>
      </c>
      <c r="E9" s="63" cm="1">
        <f t="array" aca="1" ref="E9" ca="1">IFERROR(INDIRECT("'" &amp;$B9&amp; "'!$C$27"),"")</f>
        <v>0</v>
      </c>
      <c r="F9" s="63" cm="1">
        <f t="array" aca="1" ref="F9" ca="1">IFERROR(INDIRECT("'" &amp;$B9&amp; "'!$D$27"),"")</f>
        <v>0</v>
      </c>
      <c r="G9" s="63" cm="1">
        <f t="array" aca="1" ref="G9" ca="1">IFERROR(INDIRECT("'" &amp;$B9&amp; "'!$B$32"),"")</f>
        <v>0</v>
      </c>
    </row>
    <row r="10" spans="1:7" ht="18" customHeight="1" x14ac:dyDescent="0.2">
      <c r="A10" s="60" cm="1">
        <f t="array" aca="1" ref="A10" ca="1">IFERROR(INDIRECT("'" &amp;$B10&amp; "'!$B$7"),"")</f>
        <v>46112</v>
      </c>
      <c r="B10" s="61" t="s">
        <v>31</v>
      </c>
      <c r="C10" s="62" cm="1">
        <f t="array" aca="1" ref="C10" ca="1">IFERROR(INDIRECT("'" &amp;$B10&amp; "'!$B$9"),"")</f>
        <v>996.58</v>
      </c>
      <c r="D10" s="63" cm="1">
        <f t="array" aca="1" ref="D10" ca="1">IFERROR(INDIRECT("'" &amp;$B10&amp; "'!$B$27"),"")</f>
        <v>0</v>
      </c>
      <c r="E10" s="63" cm="1">
        <f t="array" aca="1" ref="E10" ca="1">IFERROR(INDIRECT("'" &amp;$B10&amp; "'!$C$27"),"")</f>
        <v>0</v>
      </c>
      <c r="F10" s="63" cm="1">
        <f t="array" aca="1" ref="F10" ca="1">IFERROR(INDIRECT("'" &amp;$B10&amp; "'!$D$27"),"")</f>
        <v>0</v>
      </c>
      <c r="G10" s="63" cm="1">
        <f t="array" aca="1" ref="G10" ca="1">IFERROR(INDIRECT("'" &amp;$B10&amp; "'!$B$32"),"")</f>
        <v>0</v>
      </c>
    </row>
    <row r="11" spans="1:7" ht="18" customHeight="1" x14ac:dyDescent="0.2">
      <c r="A11" s="60" cm="1">
        <f t="array" aca="1" ref="A11" ca="1">IFERROR(INDIRECT("'" &amp;$B11&amp; "'!$B$7"),"")</f>
        <v>46125</v>
      </c>
      <c r="B11" s="61" t="s">
        <v>42</v>
      </c>
      <c r="C11" s="62" cm="1">
        <f t="array" aca="1" ref="C11" ca="1">IFERROR(INDIRECT("'" &amp;$B11&amp; "'!$B$9"),"")</f>
        <v>57.92</v>
      </c>
      <c r="D11" s="63" cm="1">
        <f t="array" aca="1" ref="D11" ca="1">IFERROR(INDIRECT("'" &amp;$B11&amp; "'!$B$27"),"")</f>
        <v>0</v>
      </c>
      <c r="E11" s="63" cm="1">
        <f t="array" aca="1" ref="E11" ca="1">IFERROR(INDIRECT("'" &amp;$B11&amp; "'!$C$27"),"")</f>
        <v>0</v>
      </c>
      <c r="F11" s="63" cm="1">
        <f t="array" aca="1" ref="F11" ca="1">IFERROR(INDIRECT("'" &amp;$B11&amp; "'!$D$27"),"")</f>
        <v>0</v>
      </c>
      <c r="G11" s="63" cm="1">
        <f t="array" aca="1" ref="G11" ca="1">IFERROR(INDIRECT("'" &amp;$B11&amp; "'!$B$32"),"")</f>
        <v>0</v>
      </c>
    </row>
    <row r="12" spans="1:7" ht="18" customHeight="1" x14ac:dyDescent="0.2">
      <c r="A12" s="60" cm="1">
        <f t="array" aca="1" ref="A12" ca="1">IFERROR(INDIRECT("'" &amp;$B12&amp; "'!$B$7"),"")</f>
        <v>46139</v>
      </c>
      <c r="B12" s="61" t="s">
        <v>51</v>
      </c>
      <c r="C12" s="62" cm="1">
        <f t="array" aca="1" ref="C12" ca="1">IFERROR(INDIRECT("'" &amp;$B12&amp; "'!$B$9"),"")</f>
        <v>81.56</v>
      </c>
      <c r="D12" s="63" cm="1">
        <f t="array" aca="1" ref="D12" ca="1">IFERROR(INDIRECT("'" &amp;$B12&amp; "'!$B$27"),"")</f>
        <v>0</v>
      </c>
      <c r="E12" s="63" cm="1">
        <f t="array" aca="1" ref="E12" ca="1">IFERROR(INDIRECT("'" &amp;$B12&amp; "'!$C$27"),"")</f>
        <v>0</v>
      </c>
      <c r="F12" s="63" cm="1">
        <f t="array" aca="1" ref="F12" ca="1">IFERROR(INDIRECT("'" &amp;$B12&amp; "'!$D$27"),"")</f>
        <v>0</v>
      </c>
      <c r="G12" s="63" cm="1">
        <f t="array" aca="1" ref="G12" ca="1">IFERROR(INDIRECT("'" &amp;$B12&amp; "'!$B$32"),"")</f>
        <v>0</v>
      </c>
    </row>
    <row r="13" spans="1:7" ht="18" customHeight="1" x14ac:dyDescent="0.2">
      <c r="A13" s="60" cm="1">
        <f t="array" aca="1" ref="A13" ca="1">IFERROR(INDIRECT("'" &amp;$B13&amp; "'!$B$7"),"")</f>
        <v>46125</v>
      </c>
      <c r="B13" s="61" t="s">
        <v>41</v>
      </c>
      <c r="C13" s="62" cm="1">
        <f t="array" aca="1" ref="C13" ca="1">IFERROR(INDIRECT("'" &amp;$B13&amp; "'!$B$9"),"")</f>
        <v>35.590000000000003</v>
      </c>
      <c r="D13" s="63" cm="1">
        <f t="array" aca="1" ref="D13" ca="1">IFERROR(INDIRECT("'" &amp;$B13&amp; "'!$B$27"),"")</f>
        <v>0</v>
      </c>
      <c r="E13" s="63" cm="1">
        <f t="array" aca="1" ref="E13" ca="1">IFERROR(INDIRECT("'" &amp;$B13&amp; "'!$C$27"),"")</f>
        <v>0</v>
      </c>
      <c r="F13" s="63" cm="1">
        <f t="array" aca="1" ref="F13" ca="1">IFERROR(INDIRECT("'" &amp;$B13&amp; "'!$D$27"),"")</f>
        <v>0</v>
      </c>
      <c r="G13" s="63" cm="1">
        <f t="array" aca="1" ref="G13" ca="1">IFERROR(INDIRECT("'" &amp;$B13&amp; "'!$B$32"),"")</f>
        <v>0</v>
      </c>
    </row>
    <row r="14" spans="1:7" ht="18" customHeight="1" x14ac:dyDescent="0.2">
      <c r="A14" s="60" cm="1">
        <f t="array" aca="1" ref="A14" ca="1">IFERROR(INDIRECT("'" &amp;$B14&amp; "'!$B$7"),"")</f>
        <v>46115</v>
      </c>
      <c r="B14" s="61" t="s">
        <v>32</v>
      </c>
      <c r="C14" s="62" cm="1">
        <f t="array" aca="1" ref="C14" ca="1">IFERROR(INDIRECT("'" &amp;$B14&amp; "'!$B$9"),"")</f>
        <v>296.5</v>
      </c>
      <c r="D14" s="63" cm="1">
        <f t="array" aca="1" ref="D14" ca="1">IFERROR(INDIRECT("'" &amp;$B14&amp; "'!$B$27"),"")</f>
        <v>0</v>
      </c>
      <c r="E14" s="63" cm="1">
        <f t="array" aca="1" ref="E14" ca="1">IFERROR(INDIRECT("'" &amp;$B14&amp; "'!$C$27"),"")</f>
        <v>0</v>
      </c>
      <c r="F14" s="63" cm="1">
        <f t="array" aca="1" ref="F14" ca="1">IFERROR(INDIRECT("'" &amp;$B14&amp; "'!$D$27"),"")</f>
        <v>0</v>
      </c>
      <c r="G14" s="63" cm="1">
        <f t="array" aca="1" ref="G14" ca="1">IFERROR(INDIRECT("'" &amp;$B14&amp; "'!$B$32"),"")</f>
        <v>0</v>
      </c>
    </row>
    <row r="15" spans="1:7" ht="18" customHeight="1" x14ac:dyDescent="0.2">
      <c r="A15" s="60" cm="1">
        <f t="array" aca="1" ref="A15" ca="1">IFERROR(INDIRECT("'" &amp;$B15&amp; "'!$B$7"),"")</f>
        <v>46114</v>
      </c>
      <c r="B15" s="61" t="s">
        <v>33</v>
      </c>
      <c r="C15" s="62" cm="1">
        <f t="array" aca="1" ref="C15" ca="1">IFERROR(INDIRECT("'" &amp;$B15&amp; "'!$B$9"),"")</f>
        <v>273.58</v>
      </c>
      <c r="D15" s="63" cm="1">
        <f t="array" aca="1" ref="D15" ca="1">IFERROR(INDIRECT("'" &amp;$B15&amp; "'!$B$27"),"")</f>
        <v>0</v>
      </c>
      <c r="E15" s="63" cm="1">
        <f t="array" aca="1" ref="E15" ca="1">IFERROR(INDIRECT("'" &amp;$B15&amp; "'!$C$27"),"")</f>
        <v>0</v>
      </c>
      <c r="F15" s="63" cm="1">
        <f t="array" aca="1" ref="F15" ca="1">IFERROR(INDIRECT("'" &amp;$B15&amp; "'!$D$27"),"")</f>
        <v>0</v>
      </c>
      <c r="G15" s="63" cm="1">
        <f t="array" aca="1" ref="G15" ca="1">IFERROR(INDIRECT("'" &amp;$B15&amp; "'!$B$32"),"")</f>
        <v>0</v>
      </c>
    </row>
    <row r="16" spans="1:7" ht="18" customHeight="1" x14ac:dyDescent="0.2">
      <c r="A16" s="60" cm="1">
        <f t="array" aca="1" ref="A16" ca="1">IFERROR(INDIRECT("'" &amp;$B16&amp; "'!$B$7"),"")</f>
        <v>46139</v>
      </c>
      <c r="B16" s="61" t="s">
        <v>49</v>
      </c>
      <c r="C16" s="62" cm="1">
        <f t="array" aca="1" ref="C16" ca="1">IFERROR(INDIRECT("'" &amp;$B16&amp; "'!$B$9"),"")</f>
        <v>12.26</v>
      </c>
      <c r="D16" s="63" cm="1">
        <f t="array" aca="1" ref="D16" ca="1">IFERROR(INDIRECT("'" &amp;$B16&amp; "'!$B$27"),"")</f>
        <v>0</v>
      </c>
      <c r="E16" s="63" cm="1">
        <f t="array" aca="1" ref="E16" ca="1">IFERROR(INDIRECT("'" &amp;$B16&amp; "'!$C$27"),"")</f>
        <v>0</v>
      </c>
      <c r="F16" s="63" cm="1">
        <f t="array" aca="1" ref="F16" ca="1">IFERROR(INDIRECT("'" &amp;$B16&amp; "'!$D$27"),"")</f>
        <v>0</v>
      </c>
      <c r="G16" s="63" cm="1">
        <f t="array" aca="1" ref="G16" ca="1">IFERROR(INDIRECT("'" &amp;$B16&amp; "'!$B$32"),"")</f>
        <v>0</v>
      </c>
    </row>
    <row r="17" spans="1:7" ht="18" customHeight="1" x14ac:dyDescent="0.2">
      <c r="A17" s="60" cm="1">
        <f t="array" aca="1" ref="A17" ca="1">IFERROR(INDIRECT("'" &amp;$B17&amp; "'!$B$7"),"")</f>
        <v>46114</v>
      </c>
      <c r="B17" s="61" t="s">
        <v>34</v>
      </c>
      <c r="C17" s="62" cm="1">
        <f t="array" aca="1" ref="C17" ca="1">IFERROR(INDIRECT("'" &amp;$B17&amp; "'!$B$9"),"")</f>
        <v>72.77</v>
      </c>
      <c r="D17" s="63" cm="1">
        <f t="array" aca="1" ref="D17" ca="1">IFERROR(INDIRECT("'" &amp;$B17&amp; "'!$B$27"),"")</f>
        <v>0</v>
      </c>
      <c r="E17" s="63" cm="1">
        <f t="array" aca="1" ref="E17" ca="1">IFERROR(INDIRECT("'" &amp;$B17&amp; "'!$C$27"),"")</f>
        <v>0</v>
      </c>
      <c r="F17" s="63" cm="1">
        <f t="array" aca="1" ref="F17" ca="1">IFERROR(INDIRECT("'" &amp;$B17&amp; "'!$D$27"),"")</f>
        <v>0</v>
      </c>
      <c r="G17" s="63" cm="1">
        <f t="array" aca="1" ref="G17" ca="1">IFERROR(INDIRECT("'" &amp;$B17&amp; "'!$B$32"),"")</f>
        <v>0</v>
      </c>
    </row>
    <row r="18" spans="1:7" ht="18" customHeight="1" x14ac:dyDescent="0.2">
      <c r="A18" s="60" cm="1">
        <f t="array" aca="1" ref="A18" ca="1">IFERROR(INDIRECT("'" &amp;$B18&amp; "'!$B$7"),"")</f>
        <v>46114</v>
      </c>
      <c r="B18" s="61" t="s">
        <v>35</v>
      </c>
      <c r="C18" s="62" cm="1">
        <f t="array" aca="1" ref="C18" ca="1">IFERROR(INDIRECT("'" &amp;$B18&amp; "'!$B$9"),"")</f>
        <v>369.37</v>
      </c>
      <c r="D18" s="63" cm="1">
        <f t="array" aca="1" ref="D18" ca="1">IFERROR(INDIRECT("'" &amp;$B18&amp; "'!$B$27"),"")</f>
        <v>0</v>
      </c>
      <c r="E18" s="63" cm="1">
        <f t="array" aca="1" ref="E18" ca="1">IFERROR(INDIRECT("'" &amp;$B18&amp; "'!$C$27"),"")</f>
        <v>0</v>
      </c>
      <c r="F18" s="63" cm="1">
        <f t="array" aca="1" ref="F18" ca="1">IFERROR(INDIRECT("'" &amp;$B18&amp; "'!$D$27"),"")</f>
        <v>0</v>
      </c>
      <c r="G18" s="63" cm="1">
        <f t="array" aca="1" ref="G18" ca="1">IFERROR(INDIRECT("'" &amp;$B18&amp; "'!$B$32"),"")</f>
        <v>0</v>
      </c>
    </row>
    <row r="19" spans="1:7" ht="18" customHeight="1" x14ac:dyDescent="0.2">
      <c r="A19" s="60" cm="1">
        <f t="array" aca="1" ref="A19" ca="1">IFERROR(INDIRECT("'" &amp;$B19&amp; "'!$B$7"),"")</f>
        <v>46133</v>
      </c>
      <c r="B19" s="61" t="s">
        <v>46</v>
      </c>
      <c r="C19" s="62" cm="1">
        <f t="array" aca="1" ref="C19" ca="1">IFERROR(INDIRECT("'" &amp;$B19&amp; "'!$B$9"),"")</f>
        <v>133.25</v>
      </c>
      <c r="D19" s="63" cm="1">
        <f t="array" aca="1" ref="D19" ca="1">IFERROR(INDIRECT("'" &amp;$B19&amp; "'!$B$27"),"")</f>
        <v>0</v>
      </c>
      <c r="E19" s="63" cm="1">
        <f t="array" aca="1" ref="E19" ca="1">IFERROR(INDIRECT("'" &amp;$B19&amp; "'!$C$27"),"")</f>
        <v>0</v>
      </c>
      <c r="F19" s="63" cm="1">
        <f t="array" aca="1" ref="F19" ca="1">IFERROR(INDIRECT("'" &amp;$B19&amp; "'!$D$27"),"")</f>
        <v>0</v>
      </c>
      <c r="G19" s="63" cm="1">
        <f t="array" aca="1" ref="G19" ca="1">IFERROR(INDIRECT("'" &amp;$B19&amp; "'!$B$32"),"")</f>
        <v>0</v>
      </c>
    </row>
    <row r="20" spans="1:7" ht="18" customHeight="1" x14ac:dyDescent="0.2">
      <c r="A20" s="60" cm="1">
        <f t="array" aca="1" ref="A20" ca="1">IFERROR(INDIRECT("'" &amp;$B20&amp; "'!$B$7"),"")</f>
        <v>46127</v>
      </c>
      <c r="B20" s="61" t="s">
        <v>39</v>
      </c>
      <c r="C20" s="62" cm="1">
        <f t="array" aca="1" ref="C20" ca="1">IFERROR(INDIRECT("'" &amp;$B20&amp; "'!$B$9"),"")</f>
        <v>43.93</v>
      </c>
      <c r="D20" s="63" cm="1">
        <f t="array" aca="1" ref="D20" ca="1">IFERROR(INDIRECT("'" &amp;$B20&amp; "'!$B$27"),"")</f>
        <v>0</v>
      </c>
      <c r="E20" s="63" cm="1">
        <f t="array" aca="1" ref="E20" ca="1">IFERROR(INDIRECT("'" &amp;$B20&amp; "'!$C$27"),"")</f>
        <v>0</v>
      </c>
      <c r="F20" s="63" cm="1">
        <f t="array" aca="1" ref="F20" ca="1">IFERROR(INDIRECT("'" &amp;$B20&amp; "'!$D$27"),"")</f>
        <v>0</v>
      </c>
      <c r="G20" s="63" cm="1">
        <f t="array" aca="1" ref="G20" ca="1">IFERROR(INDIRECT("'" &amp;$B20&amp; "'!$B$32"),"")</f>
        <v>0</v>
      </c>
    </row>
    <row r="21" spans="1:7" ht="18" customHeight="1" x14ac:dyDescent="0.2">
      <c r="A21" s="60" cm="1">
        <f t="array" aca="1" ref="A21" ca="1">IFERROR(INDIRECT("'" &amp;$B21&amp; "'!$B$7"),"")</f>
        <v>46139</v>
      </c>
      <c r="B21" s="61" t="s">
        <v>48</v>
      </c>
      <c r="C21" s="62" cm="1">
        <f t="array" aca="1" ref="C21" ca="1">IFERROR(INDIRECT("'" &amp;$B21&amp; "'!$B$9"),"")</f>
        <v>110.58</v>
      </c>
      <c r="D21" s="63" cm="1">
        <f t="array" aca="1" ref="D21" ca="1">IFERROR(INDIRECT("'" &amp;$B21&amp; "'!$B$27"),"")</f>
        <v>0</v>
      </c>
      <c r="E21" s="63" cm="1">
        <f t="array" aca="1" ref="E21" ca="1">IFERROR(INDIRECT("'" &amp;$B21&amp; "'!$C$27"),"")</f>
        <v>0</v>
      </c>
      <c r="F21" s="63" cm="1">
        <f t="array" aca="1" ref="F21" ca="1">IFERROR(INDIRECT("'" &amp;$B21&amp; "'!$D$27"),"")</f>
        <v>0</v>
      </c>
      <c r="G21" s="63" cm="1">
        <f t="array" aca="1" ref="G21" ca="1">IFERROR(INDIRECT("'" &amp;$B21&amp; "'!$B$32"),"")</f>
        <v>0</v>
      </c>
    </row>
    <row r="22" spans="1:7" ht="18" customHeight="1" x14ac:dyDescent="0.2">
      <c r="A22" s="60" cm="1">
        <f t="array" aca="1" ref="A22" ca="1">IFERROR(INDIRECT("'" &amp;$B22&amp; "'!$B$7"),"")</f>
        <v>46130</v>
      </c>
      <c r="B22" s="61" t="s">
        <v>43</v>
      </c>
      <c r="C22" s="62" cm="1">
        <f t="array" aca="1" ref="C22" ca="1">IFERROR(INDIRECT("'" &amp;$B22&amp; "'!$B$9"),"")</f>
        <v>79.48</v>
      </c>
      <c r="D22" s="63" cm="1">
        <f t="array" aca="1" ref="D22" ca="1">IFERROR(INDIRECT("'" &amp;$B22&amp; "'!$B$27"),"")</f>
        <v>0</v>
      </c>
      <c r="E22" s="63" cm="1">
        <f t="array" aca="1" ref="E22" ca="1">IFERROR(INDIRECT("'" &amp;$B22&amp; "'!$C$27"),"")</f>
        <v>0</v>
      </c>
      <c r="F22" s="63" cm="1">
        <f t="array" aca="1" ref="F22" ca="1">IFERROR(INDIRECT("'" &amp;$B22&amp; "'!$D$27"),"")</f>
        <v>0</v>
      </c>
      <c r="G22" s="63" cm="1">
        <f t="array" aca="1" ref="G22" ca="1">IFERROR(INDIRECT("'" &amp;$B22&amp; "'!$B$32"),"")</f>
        <v>0</v>
      </c>
    </row>
    <row r="23" spans="1:7" ht="18" customHeight="1" x14ac:dyDescent="0.2">
      <c r="A23" s="60" cm="1">
        <f t="array" aca="1" ref="A23" ca="1">IFERROR(INDIRECT("'" &amp;$B23&amp; "'!$B$7"),"")</f>
        <v>46139</v>
      </c>
      <c r="B23" s="61" t="s">
        <v>54</v>
      </c>
      <c r="C23" s="62" cm="1">
        <f t="array" aca="1" ref="C23" ca="1">IFERROR(INDIRECT("'" &amp;$B23&amp; "'!$B$9"),"")</f>
        <v>32.35</v>
      </c>
      <c r="D23" s="63" cm="1">
        <f t="array" aca="1" ref="D23" ca="1">IFERROR(INDIRECT("'" &amp;$B23&amp; "'!$B$27"),"")</f>
        <v>0</v>
      </c>
      <c r="E23" s="63" cm="1">
        <f t="array" aca="1" ref="E23" ca="1">IFERROR(INDIRECT("'" &amp;$B23&amp; "'!$C$27"),"")</f>
        <v>0</v>
      </c>
      <c r="F23" s="63" cm="1">
        <f t="array" aca="1" ref="F23" ca="1">IFERROR(INDIRECT("'" &amp;$B23&amp; "'!$D$27"),"")</f>
        <v>0</v>
      </c>
      <c r="G23" s="63" cm="1">
        <f t="array" aca="1" ref="G23" ca="1">IFERROR(INDIRECT("'" &amp;$B23&amp; "'!$B$32"),"")</f>
        <v>0</v>
      </c>
    </row>
    <row r="24" spans="1:7" ht="18" customHeight="1" x14ac:dyDescent="0.2">
      <c r="A24" s="60" cm="1">
        <f t="array" aca="1" ref="A24" ca="1">IFERROR(INDIRECT("'" &amp;$B24&amp; "'!$B$7"),"")</f>
        <v>46114</v>
      </c>
      <c r="B24" s="61" t="s">
        <v>36</v>
      </c>
      <c r="C24" s="62" cm="1">
        <f t="array" aca="1" ref="C24" ca="1">IFERROR(INDIRECT("'" &amp;$B24&amp; "'!$B$9"),"")</f>
        <v>127.28</v>
      </c>
      <c r="D24" s="63" cm="1">
        <f t="array" aca="1" ref="D24" ca="1">IFERROR(INDIRECT("'" &amp;$B24&amp; "'!$B$27"),"")</f>
        <v>0</v>
      </c>
      <c r="E24" s="63" cm="1">
        <f t="array" aca="1" ref="E24" ca="1">IFERROR(INDIRECT("'" &amp;$B24&amp; "'!$C$27"),"")</f>
        <v>0</v>
      </c>
      <c r="F24" s="63" cm="1">
        <f t="array" aca="1" ref="F24" ca="1">IFERROR(INDIRECT("'" &amp;$B24&amp; "'!$D$27"),"")</f>
        <v>0</v>
      </c>
      <c r="G24" s="63" cm="1">
        <f t="array" aca="1" ref="G24" ca="1">IFERROR(INDIRECT("'" &amp;$B24&amp; "'!$B$32"),"")</f>
        <v>0</v>
      </c>
    </row>
    <row r="25" spans="1:7" ht="18" customHeight="1" x14ac:dyDescent="0.2">
      <c r="A25" s="60" cm="1">
        <f t="array" aca="1" ref="A25" ca="1">IFERROR(INDIRECT("'" &amp;$B25&amp; "'!$B$7"),"")</f>
        <v>46139</v>
      </c>
      <c r="B25" s="61" t="s">
        <v>50</v>
      </c>
      <c r="C25" s="62" cm="1">
        <f t="array" aca="1" ref="C25" ca="1">IFERROR(INDIRECT("'" &amp;$B25&amp; "'!$B$9"),"")</f>
        <v>219.85</v>
      </c>
      <c r="D25" s="63" cm="1">
        <f t="array" aca="1" ref="D25" ca="1">IFERROR(INDIRECT("'" &amp;$B25&amp; "'!$B$27"),"")</f>
        <v>0</v>
      </c>
      <c r="E25" s="63" cm="1">
        <f t="array" aca="1" ref="E25" ca="1">IFERROR(INDIRECT("'" &amp;$B25&amp; "'!$C$27"),"")</f>
        <v>0</v>
      </c>
      <c r="F25" s="63" cm="1">
        <f t="array" aca="1" ref="F25" ca="1">IFERROR(INDIRECT("'" &amp;$B25&amp; "'!$D$27"),"")</f>
        <v>0</v>
      </c>
      <c r="G25" s="63" cm="1">
        <f t="array" aca="1" ref="G25" ca="1">IFERROR(INDIRECT("'" &amp;$B25&amp; "'!$B$32"),"")</f>
        <v>0</v>
      </c>
    </row>
    <row r="26" spans="1:7" ht="18" customHeight="1" x14ac:dyDescent="0.2">
      <c r="A26" s="60" cm="1">
        <f t="array" aca="1" ref="A26" ca="1">IFERROR(INDIRECT("'" &amp;$B26&amp; "'!$B$7"),"")</f>
        <v>46114</v>
      </c>
      <c r="B26" s="61" t="s">
        <v>37</v>
      </c>
      <c r="C26" s="62" cm="1">
        <f t="array" aca="1" ref="C26" ca="1">IFERROR(INDIRECT("'" &amp;$B26&amp; "'!$B$9"),"")</f>
        <v>56.06</v>
      </c>
      <c r="D26" s="63" cm="1">
        <f t="array" aca="1" ref="D26" ca="1">IFERROR(INDIRECT("'" &amp;$B26&amp; "'!$B$27"),"")</f>
        <v>0</v>
      </c>
      <c r="E26" s="63" cm="1">
        <f t="array" aca="1" ref="E26" ca="1">IFERROR(INDIRECT("'" &amp;$B26&amp; "'!$C$27"),"")</f>
        <v>0</v>
      </c>
      <c r="F26" s="63" cm="1">
        <f t="array" aca="1" ref="F26" ca="1">IFERROR(INDIRECT("'" &amp;$B26&amp; "'!$D$27"),"")</f>
        <v>0</v>
      </c>
      <c r="G26" s="63" cm="1">
        <f t="array" aca="1" ref="G26" ca="1">IFERROR(INDIRECT("'" &amp;$B26&amp; "'!$B$32"),"")</f>
        <v>0</v>
      </c>
    </row>
    <row r="27" spans="1:7" ht="18" customHeight="1" x14ac:dyDescent="0.2">
      <c r="A27" s="60" cm="1">
        <f t="array" aca="1" ref="A27" ca="1">IFERROR(INDIRECT("'" &amp;$B27&amp; "'!$B$7"),"")</f>
        <v>46142</v>
      </c>
      <c r="B27" s="61" t="s">
        <v>55</v>
      </c>
      <c r="C27" s="62" cm="1">
        <f t="array" aca="1" ref="C27" ca="1">IFERROR(INDIRECT("'" &amp;$B27&amp; "'!$B$9"),"")</f>
        <v>423.24</v>
      </c>
      <c r="D27" s="63" cm="1">
        <f t="array" aca="1" ref="D27" ca="1">IFERROR(INDIRECT("'" &amp;$B27&amp; "'!$B$27"),"")</f>
        <v>0</v>
      </c>
      <c r="E27" s="63" cm="1">
        <f t="array" aca="1" ref="E27" ca="1">IFERROR(INDIRECT("'" &amp;$B27&amp; "'!$C$27"),"")</f>
        <v>0</v>
      </c>
      <c r="F27" s="63" cm="1">
        <f t="array" aca="1" ref="F27" ca="1">IFERROR(INDIRECT("'" &amp;$B27&amp; "'!$D$27"),"")</f>
        <v>0</v>
      </c>
      <c r="G27" s="63" cm="1">
        <f t="array" aca="1" ref="G27" ca="1">IFERROR(INDIRECT("'" &amp;$B27&amp; "'!$B$32"),"")</f>
        <v>0</v>
      </c>
    </row>
    <row r="28" spans="1:7" ht="18" customHeight="1" x14ac:dyDescent="0.2">
      <c r="A28" s="60" t="str" cm="1">
        <f t="array" aca="1" ref="A28" ca="1">IFERROR(INDIRECT("'" &amp;$B28&amp; "'!$B$7"),"")</f>
        <v/>
      </c>
      <c r="B28" s="68"/>
      <c r="C28" s="62" t="str" cm="1">
        <f t="array" aca="1" ref="C28" ca="1">IFERROR(INDIRECT("'" &amp;$B28&amp; "'!$B$9"),"")</f>
        <v/>
      </c>
      <c r="D28" s="63" t="str" cm="1">
        <f t="array" aca="1" ref="D28" ca="1">IFERROR(INDIRECT("'" &amp;$B28&amp; "'!$B$27"),"")</f>
        <v/>
      </c>
      <c r="E28" s="63" t="str" cm="1">
        <f t="array" aca="1" ref="E28" ca="1">IFERROR(INDIRECT("'" &amp;$B28&amp; "'!$C$27"),"")</f>
        <v/>
      </c>
      <c r="F28" s="63" t="str" cm="1">
        <f t="array" aca="1" ref="F28" ca="1">IFERROR(INDIRECT("'" &amp;$B28&amp; "'!$D$27"),"")</f>
        <v/>
      </c>
      <c r="G28" s="63" t="str" cm="1">
        <f t="array" aca="1" ref="G28" ca="1">IFERROR(INDIRECT("'" &amp;$B28&amp; "'!$B$32"),"")</f>
        <v/>
      </c>
    </row>
    <row r="29" spans="1:7" ht="18" customHeight="1" x14ac:dyDescent="0.2">
      <c r="A29" s="60" t="str" cm="1">
        <f t="array" aca="1" ref="A29" ca="1">IFERROR(INDIRECT("'" &amp;$B29&amp; "'!$B$7"),"")</f>
        <v/>
      </c>
      <c r="B29" s="68"/>
      <c r="C29" s="62" t="str" cm="1">
        <f t="array" aca="1" ref="C29" ca="1">IFERROR(INDIRECT("'" &amp;$B29&amp; "'!$B$9"),"")</f>
        <v/>
      </c>
      <c r="D29" s="63" t="str" cm="1">
        <f t="array" aca="1" ref="D29" ca="1">IFERROR(INDIRECT("'" &amp;$B29&amp; "'!$B$27"),"")</f>
        <v/>
      </c>
      <c r="E29" s="63" t="str" cm="1">
        <f t="array" aca="1" ref="E29" ca="1">IFERROR(INDIRECT("'" &amp;$B29&amp; "'!$C$27"),"")</f>
        <v/>
      </c>
      <c r="F29" s="63" t="str" cm="1">
        <f t="array" aca="1" ref="F29" ca="1">IFERROR(INDIRECT("'" &amp;$B29&amp; "'!$D$27"),"")</f>
        <v/>
      </c>
      <c r="G29" s="63" t="str" cm="1">
        <f t="array" aca="1" ref="G29" ca="1">IFERROR(INDIRECT("'" &amp;$B29&amp; "'!$B$32"),"")</f>
        <v/>
      </c>
    </row>
    <row r="30" spans="1:7" ht="18" customHeight="1" x14ac:dyDescent="0.2">
      <c r="A30" s="60" t="str" cm="1">
        <f t="array" aca="1" ref="A30" ca="1">IFERROR(INDIRECT("'" &amp;$B30&amp; "'!$B$7"),"")</f>
        <v/>
      </c>
      <c r="B30" s="68"/>
      <c r="C30" s="62" t="str" cm="1">
        <f t="array" aca="1" ref="C30" ca="1">IFERROR(INDIRECT("'" &amp;$B30&amp; "'!$B$9"),"")</f>
        <v/>
      </c>
      <c r="D30" s="63" t="str" cm="1">
        <f t="array" aca="1" ref="D30" ca="1">IFERROR(INDIRECT("'" &amp;$B30&amp; "'!$B$27"),"")</f>
        <v/>
      </c>
      <c r="E30" s="63" t="str" cm="1">
        <f t="array" aca="1" ref="E30" ca="1">IFERROR(INDIRECT("'" &amp;$B30&amp; "'!$C$27"),"")</f>
        <v/>
      </c>
      <c r="F30" s="63" t="str" cm="1">
        <f t="array" aca="1" ref="F30" ca="1">IFERROR(INDIRECT("'" &amp;$B30&amp; "'!$D$27"),"")</f>
        <v/>
      </c>
      <c r="G30" s="63" t="str" cm="1">
        <f t="array" aca="1" ref="G30" ca="1">IFERROR(INDIRECT("'" &amp;$B30&amp; "'!$B$32"),"")</f>
        <v/>
      </c>
    </row>
    <row r="31" spans="1:7" ht="18" customHeight="1" x14ac:dyDescent="0.2">
      <c r="A31" s="60" t="str" cm="1">
        <f t="array" aca="1" ref="A31" ca="1">IFERROR(INDIRECT("'" &amp;$B31&amp; "'!$B$7"),"")</f>
        <v/>
      </c>
      <c r="B31" s="68"/>
      <c r="C31" s="62" t="str" cm="1">
        <f t="array" aca="1" ref="C31" ca="1">IFERROR(INDIRECT("'" &amp;$B31&amp; "'!$B$9"),"")</f>
        <v/>
      </c>
      <c r="D31" s="63" t="str" cm="1">
        <f t="array" aca="1" ref="D31" ca="1">IFERROR(INDIRECT("'" &amp;$B31&amp; "'!$B$27"),"")</f>
        <v/>
      </c>
      <c r="E31" s="63" t="str" cm="1">
        <f t="array" aca="1" ref="E31" ca="1">IFERROR(INDIRECT("'" &amp;$B31&amp; "'!$C$27"),"")</f>
        <v/>
      </c>
      <c r="F31" s="63" t="str" cm="1">
        <f t="array" aca="1" ref="F31" ca="1">IFERROR(INDIRECT("'" &amp;$B31&amp; "'!$D$27"),"")</f>
        <v/>
      </c>
      <c r="G31" s="63" t="str" cm="1">
        <f t="array" aca="1" ref="G31" ca="1">IFERROR(INDIRECT("'" &amp;$B31&amp; "'!$B$32"),"")</f>
        <v/>
      </c>
    </row>
    <row r="32" spans="1:7" ht="18" customHeight="1" x14ac:dyDescent="0.2">
      <c r="A32" s="60" t="str" cm="1">
        <f t="array" aca="1" ref="A32" ca="1">IFERROR(INDIRECT("'" &amp;$B32&amp; "'!$B$7"),"")</f>
        <v/>
      </c>
      <c r="B32" s="68"/>
      <c r="C32" s="62" t="str" cm="1">
        <f t="array" aca="1" ref="C32" ca="1">IFERROR(INDIRECT("'" &amp;$B32&amp; "'!$B$9"),"")</f>
        <v/>
      </c>
      <c r="D32" s="63" t="str" cm="1">
        <f t="array" aca="1" ref="D32" ca="1">IFERROR(INDIRECT("'" &amp;$B32&amp; "'!$B$27"),"")</f>
        <v/>
      </c>
      <c r="E32" s="63" t="str" cm="1">
        <f t="array" aca="1" ref="E32" ca="1">IFERROR(INDIRECT("'" &amp;$B32&amp; "'!$C$27"),"")</f>
        <v/>
      </c>
      <c r="F32" s="63" t="str" cm="1">
        <f t="array" aca="1" ref="F32" ca="1">IFERROR(INDIRECT("'" &amp;$B32&amp; "'!$D$27"),"")</f>
        <v/>
      </c>
      <c r="G32" s="63" t="str" cm="1">
        <f t="array" aca="1" ref="G32" ca="1">IFERROR(INDIRECT("'" &amp;$B32&amp; "'!$B$32"),"")</f>
        <v/>
      </c>
    </row>
    <row r="33" spans="1:7" ht="18" customHeight="1" x14ac:dyDescent="0.2">
      <c r="A33" s="60" t="str" cm="1">
        <f t="array" aca="1" ref="A33" ca="1">IFERROR(INDIRECT("'" &amp;$B33&amp; "'!$B$7"),"")</f>
        <v/>
      </c>
      <c r="B33" s="68"/>
      <c r="C33" s="62" t="str" cm="1">
        <f t="array" aca="1" ref="C33" ca="1">IFERROR(INDIRECT("'" &amp;$B33&amp; "'!$B$9"),"")</f>
        <v/>
      </c>
      <c r="D33" s="63" t="str" cm="1">
        <f t="array" aca="1" ref="D33" ca="1">IFERROR(INDIRECT("'" &amp;$B33&amp; "'!$B$27"),"")</f>
        <v/>
      </c>
      <c r="E33" s="63" t="str" cm="1">
        <f t="array" aca="1" ref="E33" ca="1">IFERROR(INDIRECT("'" &amp;$B33&amp; "'!$C$27"),"")</f>
        <v/>
      </c>
      <c r="F33" s="63" t="str" cm="1">
        <f t="array" aca="1" ref="F33" ca="1">IFERROR(INDIRECT("'" &amp;$B33&amp; "'!$D$27"),"")</f>
        <v/>
      </c>
      <c r="G33" s="63" t="str" cm="1">
        <f t="array" aca="1" ref="G33" ca="1">IFERROR(INDIRECT("'" &amp;$B33&amp; "'!$B$32"),"")</f>
        <v/>
      </c>
    </row>
    <row r="34" spans="1:7" ht="18" customHeight="1" x14ac:dyDescent="0.2">
      <c r="A34" s="60" t="str" cm="1">
        <f t="array" aca="1" ref="A34" ca="1">IFERROR(INDIRECT("'" &amp;$B34&amp; "'!$B$7"),"")</f>
        <v/>
      </c>
      <c r="B34" s="68"/>
      <c r="C34" s="62" t="str" cm="1">
        <f t="array" aca="1" ref="C34" ca="1">IFERROR(INDIRECT("'" &amp;$B34&amp; "'!$B$9"),"")</f>
        <v/>
      </c>
      <c r="D34" s="63" t="str" cm="1">
        <f t="array" aca="1" ref="D34" ca="1">IFERROR(INDIRECT("'" &amp;$B34&amp; "'!$B$27"),"")</f>
        <v/>
      </c>
      <c r="E34" s="63" t="str" cm="1">
        <f t="array" aca="1" ref="E34" ca="1">IFERROR(INDIRECT("'" &amp;$B34&amp; "'!$C$27"),"")</f>
        <v/>
      </c>
      <c r="F34" s="63" t="str" cm="1">
        <f t="array" aca="1" ref="F34" ca="1">IFERROR(INDIRECT("'" &amp;$B34&amp; "'!$D$27"),"")</f>
        <v/>
      </c>
      <c r="G34" s="63" t="str" cm="1">
        <f t="array" aca="1" ref="G34" ca="1">IFERROR(INDIRECT("'" &amp;$B34&amp; "'!$B$32"),"")</f>
        <v/>
      </c>
    </row>
    <row r="35" spans="1:7" ht="18" customHeight="1" x14ac:dyDescent="0.2">
      <c r="A35" s="60" t="str" cm="1">
        <f t="array" aca="1" ref="A35" ca="1">IFERROR(INDIRECT("'" &amp;$B35&amp; "'!$B$7"),"")</f>
        <v/>
      </c>
      <c r="B35" s="68"/>
      <c r="C35" s="62" t="str" cm="1">
        <f t="array" aca="1" ref="C35" ca="1">IFERROR(INDIRECT("'" &amp;$B35&amp; "'!$B$9"),"")</f>
        <v/>
      </c>
      <c r="D35" s="63" t="str" cm="1">
        <f t="array" aca="1" ref="D35" ca="1">IFERROR(INDIRECT("'" &amp;$B35&amp; "'!$B$27"),"")</f>
        <v/>
      </c>
      <c r="E35" s="63" t="str" cm="1">
        <f t="array" aca="1" ref="E35" ca="1">IFERROR(INDIRECT("'" &amp;$B35&amp; "'!$C$27"),"")</f>
        <v/>
      </c>
      <c r="F35" s="63" t="str" cm="1">
        <f t="array" aca="1" ref="F35" ca="1">IFERROR(INDIRECT("'" &amp;$B35&amp; "'!$D$27"),"")</f>
        <v/>
      </c>
      <c r="G35" s="63" t="str" cm="1">
        <f t="array" aca="1" ref="G35" ca="1">IFERROR(INDIRECT("'" &amp;$B35&amp; "'!$B$32"),"")</f>
        <v/>
      </c>
    </row>
    <row r="36" spans="1:7" ht="18" customHeight="1" x14ac:dyDescent="0.2">
      <c r="A36" s="60" t="str" cm="1">
        <f t="array" aca="1" ref="A36" ca="1">IFERROR(INDIRECT("'" &amp;$B36&amp; "'!$B$7"),"")</f>
        <v/>
      </c>
      <c r="B36" s="68"/>
      <c r="C36" s="62" t="str" cm="1">
        <f t="array" aca="1" ref="C36" ca="1">IFERROR(INDIRECT("'" &amp;$B36&amp; "'!$B$9"),"")</f>
        <v/>
      </c>
      <c r="D36" s="63" t="str" cm="1">
        <f t="array" aca="1" ref="D36" ca="1">IFERROR(INDIRECT("'" &amp;$B36&amp; "'!$B$27"),"")</f>
        <v/>
      </c>
      <c r="E36" s="63" t="str" cm="1">
        <f t="array" aca="1" ref="E36" ca="1">IFERROR(INDIRECT("'" &amp;$B36&amp; "'!$C$27"),"")</f>
        <v/>
      </c>
      <c r="F36" s="63" t="str" cm="1">
        <f t="array" aca="1" ref="F36" ca="1">IFERROR(INDIRECT("'" &amp;$B36&amp; "'!$D$27"),"")</f>
        <v/>
      </c>
      <c r="G36" s="63" t="str" cm="1">
        <f t="array" aca="1" ref="G36" ca="1">IFERROR(INDIRECT("'" &amp;$B36&amp; "'!$B$32"),"")</f>
        <v/>
      </c>
    </row>
    <row r="37" spans="1:7" ht="18" customHeight="1" x14ac:dyDescent="0.2">
      <c r="A37" s="60" t="str" cm="1">
        <f t="array" aca="1" ref="A37" ca="1">IFERROR(INDIRECT("'" &amp;$B37&amp; "'!$B$7"),"")</f>
        <v/>
      </c>
      <c r="B37" s="68"/>
      <c r="C37" s="62" t="str" cm="1">
        <f t="array" aca="1" ref="C37" ca="1">IFERROR(INDIRECT("'" &amp;$B37&amp; "'!$B$9"),"")</f>
        <v/>
      </c>
      <c r="D37" s="63" t="str" cm="1">
        <f t="array" aca="1" ref="D37" ca="1">IFERROR(INDIRECT("'" &amp;$B37&amp; "'!$B$27"),"")</f>
        <v/>
      </c>
      <c r="E37" s="63" t="str" cm="1">
        <f t="array" aca="1" ref="E37" ca="1">IFERROR(INDIRECT("'" &amp;$B37&amp; "'!$C$27"),"")</f>
        <v/>
      </c>
      <c r="F37" s="63" t="str" cm="1">
        <f t="array" aca="1" ref="F37" ca="1">IFERROR(INDIRECT("'" &amp;$B37&amp; "'!$D$27"),"")</f>
        <v/>
      </c>
      <c r="G37" s="63" t="str" cm="1">
        <f t="array" aca="1" ref="G37" ca="1">IFERROR(INDIRECT("'" &amp;$B37&amp; "'!$B$32"),"")</f>
        <v/>
      </c>
    </row>
    <row r="38" spans="1:7" ht="18" customHeight="1" x14ac:dyDescent="0.2">
      <c r="A38" s="60" t="str" cm="1">
        <f t="array" aca="1" ref="A38" ca="1">IFERROR(INDIRECT("'" &amp;$B38&amp; "'!$B$7"),"")</f>
        <v/>
      </c>
      <c r="B38" s="68"/>
      <c r="C38" s="62" t="str" cm="1">
        <f t="array" aca="1" ref="C38" ca="1">IFERROR(INDIRECT("'" &amp;$B38&amp; "'!$B$9"),"")</f>
        <v/>
      </c>
      <c r="D38" s="63" t="str" cm="1">
        <f t="array" aca="1" ref="D38" ca="1">IFERROR(INDIRECT("'" &amp;$B38&amp; "'!$B$27"),"")</f>
        <v/>
      </c>
      <c r="E38" s="63" t="str" cm="1">
        <f t="array" aca="1" ref="E38" ca="1">IFERROR(INDIRECT("'" &amp;$B38&amp; "'!$C$27"),"")</f>
        <v/>
      </c>
      <c r="F38" s="63" t="str" cm="1">
        <f t="array" aca="1" ref="F38" ca="1">IFERROR(INDIRECT("'" &amp;$B38&amp; "'!$D$27"),"")</f>
        <v/>
      </c>
      <c r="G38" s="63" t="str" cm="1">
        <f t="array" aca="1" ref="G38" ca="1">IFERROR(INDIRECT("'" &amp;$B38&amp; "'!$B$32"),"")</f>
        <v/>
      </c>
    </row>
    <row r="39" spans="1:7" ht="18" customHeight="1" x14ac:dyDescent="0.2">
      <c r="A39" s="60" t="str" cm="1">
        <f t="array" aca="1" ref="A39" ca="1">IFERROR(INDIRECT("'" &amp;$B39&amp; "'!$B$7"),"")</f>
        <v/>
      </c>
      <c r="B39" s="68"/>
      <c r="C39" s="62" t="str" cm="1">
        <f t="array" aca="1" ref="C39" ca="1">IFERROR(INDIRECT("'" &amp;$B39&amp; "'!$B$9"),"")</f>
        <v/>
      </c>
      <c r="D39" s="63" t="str" cm="1">
        <f t="array" aca="1" ref="D39" ca="1">IFERROR(INDIRECT("'" &amp;$B39&amp; "'!$B$27"),"")</f>
        <v/>
      </c>
      <c r="E39" s="63" t="str" cm="1">
        <f t="array" aca="1" ref="E39" ca="1">IFERROR(INDIRECT("'" &amp;$B39&amp; "'!$C$27"),"")</f>
        <v/>
      </c>
      <c r="F39" s="63" t="str" cm="1">
        <f t="array" aca="1" ref="F39" ca="1">IFERROR(INDIRECT("'" &amp;$B39&amp; "'!$D$27"),"")</f>
        <v/>
      </c>
      <c r="G39" s="63" t="str" cm="1">
        <f t="array" aca="1" ref="G39" ca="1">IFERROR(INDIRECT("'" &amp;$B39&amp; "'!$B$32"),"")</f>
        <v/>
      </c>
    </row>
    <row r="40" spans="1:7" ht="18" customHeight="1" x14ac:dyDescent="0.2">
      <c r="A40" s="60" t="str" cm="1">
        <f t="array" aca="1" ref="A40" ca="1">IFERROR(INDIRECT("'" &amp;$B40&amp; "'!$B$7"),"")</f>
        <v/>
      </c>
      <c r="B40" s="68"/>
      <c r="C40" s="62" t="str" cm="1">
        <f t="array" aca="1" ref="C40" ca="1">IFERROR(INDIRECT("'" &amp;$B40&amp; "'!$B$9"),"")</f>
        <v/>
      </c>
      <c r="D40" s="63" t="str" cm="1">
        <f t="array" aca="1" ref="D40" ca="1">IFERROR(INDIRECT("'" &amp;$B40&amp; "'!$B$27"),"")</f>
        <v/>
      </c>
      <c r="E40" s="63" t="str" cm="1">
        <f t="array" aca="1" ref="E40" ca="1">IFERROR(INDIRECT("'" &amp;$B40&amp; "'!$C$27"),"")</f>
        <v/>
      </c>
      <c r="F40" s="63" t="str" cm="1">
        <f t="array" aca="1" ref="F40" ca="1">IFERROR(INDIRECT("'" &amp;$B40&amp; "'!$D$27"),"")</f>
        <v/>
      </c>
      <c r="G40" s="63" t="str" cm="1">
        <f t="array" aca="1" ref="G40" ca="1">IFERROR(INDIRECT("'" &amp;$B40&amp; "'!$B$32"),"")</f>
        <v/>
      </c>
    </row>
    <row r="41" spans="1:7" ht="18" customHeight="1" x14ac:dyDescent="0.2">
      <c r="A41" s="60" t="str" cm="1">
        <f t="array" aca="1" ref="A41" ca="1">IFERROR(INDIRECT("'" &amp;$B41&amp; "'!$B$7"),"")</f>
        <v/>
      </c>
      <c r="B41" s="68"/>
      <c r="C41" s="62" t="str" cm="1">
        <f t="array" aca="1" ref="C41" ca="1">IFERROR(INDIRECT("'" &amp;$B41&amp; "'!$B$9"),"")</f>
        <v/>
      </c>
      <c r="D41" s="63" t="str" cm="1">
        <f t="array" aca="1" ref="D41" ca="1">IFERROR(INDIRECT("'" &amp;$B41&amp; "'!$B$27"),"")</f>
        <v/>
      </c>
      <c r="E41" s="63" t="str" cm="1">
        <f t="array" aca="1" ref="E41" ca="1">IFERROR(INDIRECT("'" &amp;$B41&amp; "'!$C$27"),"")</f>
        <v/>
      </c>
      <c r="F41" s="63" t="str" cm="1">
        <f t="array" aca="1" ref="F41" ca="1">IFERROR(INDIRECT("'" &amp;$B41&amp; "'!$D$27"),"")</f>
        <v/>
      </c>
      <c r="G41" s="63" t="str" cm="1">
        <f t="array" aca="1" ref="G41" ca="1">IFERROR(INDIRECT("'" &amp;$B41&amp; "'!$B$32"),"")</f>
        <v/>
      </c>
    </row>
    <row r="42" spans="1:7" ht="18" customHeight="1" x14ac:dyDescent="0.2">
      <c r="A42" s="60" t="str" cm="1">
        <f t="array" aca="1" ref="A42" ca="1">IFERROR(INDIRECT("'" &amp;$B42&amp; "'!$B$7"),"")</f>
        <v/>
      </c>
      <c r="B42" s="68"/>
      <c r="C42" s="62" t="str" cm="1">
        <f t="array" aca="1" ref="C42" ca="1">IFERROR(INDIRECT("'" &amp;$B42&amp; "'!$B$9"),"")</f>
        <v/>
      </c>
      <c r="D42" s="63" t="str" cm="1">
        <f t="array" aca="1" ref="D42" ca="1">IFERROR(INDIRECT("'" &amp;$B42&amp; "'!$B$27"),"")</f>
        <v/>
      </c>
      <c r="E42" s="63" t="str" cm="1">
        <f t="array" aca="1" ref="E42" ca="1">IFERROR(INDIRECT("'" &amp;$B42&amp; "'!$C$27"),"")</f>
        <v/>
      </c>
      <c r="F42" s="63" t="str" cm="1">
        <f t="array" aca="1" ref="F42" ca="1">IFERROR(INDIRECT("'" &amp;$B42&amp; "'!$D$27"),"")</f>
        <v/>
      </c>
      <c r="G42" s="63" t="str" cm="1">
        <f t="array" aca="1" ref="G42" ca="1">IFERROR(INDIRECT("'" &amp;$B42&amp; "'!$B$32"),"")</f>
        <v/>
      </c>
    </row>
    <row r="43" spans="1:7" ht="18" customHeight="1" x14ac:dyDescent="0.2">
      <c r="A43" s="60" t="str" cm="1">
        <f t="array" aca="1" ref="A43" ca="1">IFERROR(INDIRECT("'" &amp;$B43&amp; "'!$B$7"),"")</f>
        <v/>
      </c>
      <c r="B43" s="68"/>
      <c r="C43" s="62" t="str" cm="1">
        <f t="array" aca="1" ref="C43" ca="1">IFERROR(INDIRECT("'" &amp;$B43&amp; "'!$B$9"),"")</f>
        <v/>
      </c>
      <c r="D43" s="63" t="str" cm="1">
        <f t="array" aca="1" ref="D43" ca="1">IFERROR(INDIRECT("'" &amp;$B43&amp; "'!$B$27"),"")</f>
        <v/>
      </c>
      <c r="E43" s="63" t="str" cm="1">
        <f t="array" aca="1" ref="E43" ca="1">IFERROR(INDIRECT("'" &amp;$B43&amp; "'!$C$27"),"")</f>
        <v/>
      </c>
      <c r="F43" s="63" t="str" cm="1">
        <f t="array" aca="1" ref="F43" ca="1">IFERROR(INDIRECT("'" &amp;$B43&amp; "'!$D$27"),"")</f>
        <v/>
      </c>
      <c r="G43" s="63" t="str" cm="1">
        <f t="array" aca="1" ref="G43" ca="1">IFERROR(INDIRECT("'" &amp;$B43&amp; "'!$B$32"),"")</f>
        <v/>
      </c>
    </row>
    <row r="44" spans="1:7" ht="18" customHeight="1" x14ac:dyDescent="0.2">
      <c r="A44" s="60" t="str" cm="1">
        <f t="array" aca="1" ref="A44" ca="1">IFERROR(INDIRECT("'" &amp;$B44&amp; "'!$B$7"),"")</f>
        <v/>
      </c>
      <c r="B44" s="68"/>
      <c r="C44" s="62" t="str" cm="1">
        <f t="array" aca="1" ref="C44" ca="1">IFERROR(INDIRECT("'" &amp;$B44&amp; "'!$B$9"),"")</f>
        <v/>
      </c>
      <c r="D44" s="63" t="str" cm="1">
        <f t="array" aca="1" ref="D44" ca="1">IFERROR(INDIRECT("'" &amp;$B44&amp; "'!$B$27"),"")</f>
        <v/>
      </c>
      <c r="E44" s="63" t="str" cm="1">
        <f t="array" aca="1" ref="E44" ca="1">IFERROR(INDIRECT("'" &amp;$B44&amp; "'!$C$27"),"")</f>
        <v/>
      </c>
      <c r="F44" s="63" t="str" cm="1">
        <f t="array" aca="1" ref="F44" ca="1">IFERROR(INDIRECT("'" &amp;$B44&amp; "'!$D$27"),"")</f>
        <v/>
      </c>
      <c r="G44" s="63" t="str" cm="1">
        <f t="array" aca="1" ref="G44" ca="1">IFERROR(INDIRECT("'" &amp;$B44&amp; "'!$B$32"),"")</f>
        <v/>
      </c>
    </row>
    <row r="45" spans="1:7" ht="18" customHeight="1" x14ac:dyDescent="0.2">
      <c r="A45" s="60" t="str" cm="1">
        <f t="array" aca="1" ref="A45" ca="1">IFERROR(INDIRECT("'" &amp;$B45&amp; "'!$B$7"),"")</f>
        <v/>
      </c>
      <c r="B45" s="68"/>
      <c r="C45" s="62" t="str" cm="1">
        <f t="array" aca="1" ref="C45" ca="1">IFERROR(INDIRECT("'" &amp;$B45&amp; "'!$B$9"),"")</f>
        <v/>
      </c>
      <c r="D45" s="63" t="str" cm="1">
        <f t="array" aca="1" ref="D45" ca="1">IFERROR(INDIRECT("'" &amp;$B45&amp; "'!$B$27"),"")</f>
        <v/>
      </c>
      <c r="E45" s="63" t="str" cm="1">
        <f t="array" aca="1" ref="E45" ca="1">IFERROR(INDIRECT("'" &amp;$B45&amp; "'!$C$27"),"")</f>
        <v/>
      </c>
      <c r="F45" s="63" t="str" cm="1">
        <f t="array" aca="1" ref="F45" ca="1">IFERROR(INDIRECT("'" &amp;$B45&amp; "'!$D$27"),"")</f>
        <v/>
      </c>
      <c r="G45" s="63" t="str" cm="1">
        <f t="array" aca="1" ref="G45" ca="1">IFERROR(INDIRECT("'" &amp;$B45&amp; "'!$B$32"),"")</f>
        <v/>
      </c>
    </row>
    <row r="46" spans="1:7" ht="18" customHeight="1" x14ac:dyDescent="0.2">
      <c r="A46" s="60" t="str" cm="1">
        <f t="array" aca="1" ref="A46" ca="1">IFERROR(INDIRECT("'" &amp;$B46&amp; "'!$B$7"),"")</f>
        <v/>
      </c>
      <c r="B46" s="68"/>
      <c r="C46" s="62" t="str" cm="1">
        <f t="array" aca="1" ref="C46" ca="1">IFERROR(INDIRECT("'" &amp;$B46&amp; "'!$B$9"),"")</f>
        <v/>
      </c>
      <c r="D46" s="63" t="str" cm="1">
        <f t="array" aca="1" ref="D46" ca="1">IFERROR(INDIRECT("'" &amp;$B46&amp; "'!$B$27"),"")</f>
        <v/>
      </c>
      <c r="E46" s="63" t="str" cm="1">
        <f t="array" aca="1" ref="E46" ca="1">IFERROR(INDIRECT("'" &amp;$B46&amp; "'!$C$27"),"")</f>
        <v/>
      </c>
      <c r="F46" s="63" t="str" cm="1">
        <f t="array" aca="1" ref="F46" ca="1">IFERROR(INDIRECT("'" &amp;$B46&amp; "'!$D$27"),"")</f>
        <v/>
      </c>
      <c r="G46" s="63" t="str" cm="1">
        <f t="array" aca="1" ref="G46" ca="1">IFERROR(INDIRECT("'" &amp;$B46&amp; "'!$B$32"),"")</f>
        <v/>
      </c>
    </row>
    <row r="47" spans="1:7" ht="18" customHeight="1" x14ac:dyDescent="0.2">
      <c r="A47" s="60" t="str" cm="1">
        <f t="array" aca="1" ref="A47" ca="1">IFERROR(INDIRECT("'" &amp;$B47&amp; "'!$B$7"),"")</f>
        <v/>
      </c>
      <c r="B47" s="68"/>
      <c r="C47" s="62" t="str" cm="1">
        <f t="array" aca="1" ref="C47" ca="1">IFERROR(INDIRECT("'" &amp;$B47&amp; "'!$B$9"),"")</f>
        <v/>
      </c>
      <c r="D47" s="63" t="str" cm="1">
        <f t="array" aca="1" ref="D47" ca="1">IFERROR(INDIRECT("'" &amp;$B47&amp; "'!$B$27"),"")</f>
        <v/>
      </c>
      <c r="E47" s="63" t="str" cm="1">
        <f t="array" aca="1" ref="E47" ca="1">IFERROR(INDIRECT("'" &amp;$B47&amp; "'!$C$27"),"")</f>
        <v/>
      </c>
      <c r="F47" s="63" t="str" cm="1">
        <f t="array" aca="1" ref="F47" ca="1">IFERROR(INDIRECT("'" &amp;$B47&amp; "'!$D$27"),"")</f>
        <v/>
      </c>
      <c r="G47" s="63" t="str" cm="1">
        <f t="array" aca="1" ref="G47" ca="1">IFERROR(INDIRECT("'" &amp;$B47&amp; "'!$B$32"),"")</f>
        <v/>
      </c>
    </row>
    <row r="48" spans="1:7" ht="18" customHeight="1" x14ac:dyDescent="0.2">
      <c r="A48" s="60" t="str" cm="1">
        <f t="array" aca="1" ref="A48" ca="1">IFERROR(INDIRECT("'" &amp;$B48&amp; "'!$B$7"),"")</f>
        <v/>
      </c>
      <c r="B48" s="68"/>
      <c r="C48" s="62" t="str" cm="1">
        <f t="array" aca="1" ref="C48" ca="1">IFERROR(INDIRECT("'" &amp;$B48&amp; "'!$B$9"),"")</f>
        <v/>
      </c>
      <c r="D48" s="63" t="str" cm="1">
        <f t="array" aca="1" ref="D48" ca="1">IFERROR(INDIRECT("'" &amp;$B48&amp; "'!$B$27"),"")</f>
        <v/>
      </c>
      <c r="E48" s="63" t="str" cm="1">
        <f t="array" aca="1" ref="E48" ca="1">IFERROR(INDIRECT("'" &amp;$B48&amp; "'!$C$27"),"")</f>
        <v/>
      </c>
      <c r="F48" s="63" t="str" cm="1">
        <f t="array" aca="1" ref="F48" ca="1">IFERROR(INDIRECT("'" &amp;$B48&amp; "'!$D$27"),"")</f>
        <v/>
      </c>
      <c r="G48" s="63" t="str" cm="1">
        <f t="array" aca="1" ref="G48" ca="1">IFERROR(INDIRECT("'" &amp;$B48&amp; "'!$B$32"),"")</f>
        <v/>
      </c>
    </row>
    <row r="49" spans="1:7" ht="18" customHeight="1" x14ac:dyDescent="0.2">
      <c r="A49" s="60" t="str" cm="1">
        <f t="array" aca="1" ref="A49" ca="1">IFERROR(INDIRECT("'" &amp;$B49&amp; "'!$B$7"),"")</f>
        <v/>
      </c>
      <c r="B49" s="68"/>
      <c r="C49" s="62" t="str" cm="1">
        <f t="array" aca="1" ref="C49" ca="1">IFERROR(INDIRECT("'" &amp;$B49&amp; "'!$B$9"),"")</f>
        <v/>
      </c>
      <c r="D49" s="63" t="str" cm="1">
        <f t="array" aca="1" ref="D49" ca="1">IFERROR(INDIRECT("'" &amp;$B49&amp; "'!$B$27"),"")</f>
        <v/>
      </c>
      <c r="E49" s="63" t="str" cm="1">
        <f t="array" aca="1" ref="E49" ca="1">IFERROR(INDIRECT("'" &amp;$B49&amp; "'!$C$27"),"")</f>
        <v/>
      </c>
      <c r="F49" s="63" t="str" cm="1">
        <f t="array" aca="1" ref="F49" ca="1">IFERROR(INDIRECT("'" &amp;$B49&amp; "'!$D$27"),"")</f>
        <v/>
      </c>
      <c r="G49" s="63" t="str" cm="1">
        <f t="array" aca="1" ref="G49" ca="1">IFERROR(INDIRECT("'" &amp;$B49&amp; "'!$B$32"),"")</f>
        <v/>
      </c>
    </row>
    <row r="50" spans="1:7" ht="18" customHeight="1" x14ac:dyDescent="0.2">
      <c r="A50" s="60" t="str" cm="1">
        <f t="array" aca="1" ref="A50" ca="1">IFERROR(INDIRECT("'" &amp;$B50&amp; "'!$B$7"),"")</f>
        <v/>
      </c>
      <c r="B50" s="68"/>
      <c r="C50" s="62" t="str" cm="1">
        <f t="array" aca="1" ref="C50" ca="1">IFERROR(INDIRECT("'" &amp;$B50&amp; "'!$B$9"),"")</f>
        <v/>
      </c>
      <c r="D50" s="63" t="str" cm="1">
        <f t="array" aca="1" ref="D50" ca="1">IFERROR(INDIRECT("'" &amp;$B50&amp; "'!$B$27"),"")</f>
        <v/>
      </c>
      <c r="E50" s="63" t="str" cm="1">
        <f t="array" aca="1" ref="E50" ca="1">IFERROR(INDIRECT("'" &amp;$B50&amp; "'!$C$27"),"")</f>
        <v/>
      </c>
      <c r="F50" s="63" t="str" cm="1">
        <f t="array" aca="1" ref="F50" ca="1">IFERROR(INDIRECT("'" &amp;$B50&amp; "'!$D$27"),"")</f>
        <v/>
      </c>
      <c r="G50" s="63" t="str" cm="1">
        <f t="array" aca="1" ref="G50" ca="1">IFERROR(INDIRECT("'" &amp;$B50&amp; "'!$B$32"),"")</f>
        <v/>
      </c>
    </row>
    <row r="51" spans="1:7" ht="18" customHeight="1" x14ac:dyDescent="0.2">
      <c r="A51" s="60" t="str" cm="1">
        <f t="array" aca="1" ref="A51" ca="1">IFERROR(INDIRECT("'" &amp;$B51&amp; "'!$B$7"),"")</f>
        <v/>
      </c>
      <c r="B51" s="68"/>
      <c r="C51" s="62" t="str" cm="1">
        <f t="array" aca="1" ref="C51" ca="1">IFERROR(INDIRECT("'" &amp;$B51&amp; "'!$B$9"),"")</f>
        <v/>
      </c>
      <c r="D51" s="63" t="str" cm="1">
        <f t="array" aca="1" ref="D51" ca="1">IFERROR(INDIRECT("'" &amp;$B51&amp; "'!$B$27"),"")</f>
        <v/>
      </c>
      <c r="E51" s="63" t="str" cm="1">
        <f t="array" aca="1" ref="E51" ca="1">IFERROR(INDIRECT("'" &amp;$B51&amp; "'!$C$27"),"")</f>
        <v/>
      </c>
      <c r="F51" s="63" t="str" cm="1">
        <f t="array" aca="1" ref="F51" ca="1">IFERROR(INDIRECT("'" &amp;$B51&amp; "'!$D$27"),"")</f>
        <v/>
      </c>
      <c r="G51" s="63" t="str" cm="1">
        <f t="array" aca="1" ref="G51" ca="1">IFERROR(INDIRECT("'" &amp;$B51&amp; "'!$B$32"),"")</f>
        <v/>
      </c>
    </row>
    <row r="52" spans="1:7" ht="16" hidden="1" customHeight="1" x14ac:dyDescent="0.2">
      <c r="A52" s="34"/>
      <c r="B52" s="58"/>
      <c r="C52" s="35"/>
      <c r="D52" s="36"/>
      <c r="E52" s="36"/>
      <c r="F52" s="36"/>
    </row>
    <row r="53" spans="1:7" ht="16" hidden="1" customHeight="1" x14ac:dyDescent="0.2">
      <c r="A53" s="34"/>
      <c r="B53" s="58"/>
      <c r="C53" s="35"/>
      <c r="D53" s="36"/>
      <c r="E53" s="36"/>
      <c r="F53" s="36"/>
    </row>
    <row r="54" spans="1:7" ht="16" hidden="1" customHeight="1" x14ac:dyDescent="0.2">
      <c r="A54" s="34"/>
      <c r="B54" s="58"/>
      <c r="C54" s="35"/>
      <c r="D54" s="36"/>
      <c r="E54" s="36"/>
      <c r="F54" s="36"/>
    </row>
    <row r="55" spans="1:7" ht="16" hidden="1" customHeight="1" x14ac:dyDescent="0.2">
      <c r="A55" s="34"/>
      <c r="B55" s="58"/>
      <c r="C55" s="35"/>
      <c r="D55" s="36"/>
      <c r="E55" s="36"/>
      <c r="F55" s="36"/>
    </row>
    <row r="56" spans="1:7" ht="16" hidden="1" customHeight="1" x14ac:dyDescent="0.2">
      <c r="A56" s="34"/>
      <c r="B56" s="58"/>
      <c r="C56" s="35"/>
      <c r="D56" s="36"/>
      <c r="E56" s="36"/>
      <c r="F56" s="36"/>
    </row>
    <row r="57" spans="1:7" ht="16" hidden="1" customHeight="1" x14ac:dyDescent="0.2">
      <c r="A57" s="34"/>
      <c r="B57" s="58"/>
      <c r="C57" s="35"/>
      <c r="D57" s="36"/>
      <c r="E57" s="36"/>
      <c r="F57" s="36"/>
    </row>
    <row r="58" spans="1:7" ht="16" hidden="1" customHeight="1" x14ac:dyDescent="0.2">
      <c r="A58" s="34"/>
      <c r="B58" s="58"/>
      <c r="C58" s="35"/>
      <c r="D58" s="36"/>
      <c r="E58" s="36"/>
      <c r="F58" s="36"/>
    </row>
    <row r="59" spans="1:7" ht="16" hidden="1" customHeight="1" x14ac:dyDescent="0.2">
      <c r="A59" s="34"/>
      <c r="B59" s="58"/>
      <c r="C59" s="35"/>
      <c r="D59" s="36"/>
      <c r="E59" s="36"/>
      <c r="F59" s="36"/>
    </row>
    <row r="60" spans="1:7" ht="16" hidden="1" customHeight="1" x14ac:dyDescent="0.2">
      <c r="A60" s="34"/>
      <c r="B60" s="58"/>
      <c r="C60" s="35"/>
      <c r="D60" s="36"/>
      <c r="E60" s="36"/>
      <c r="F60" s="36"/>
    </row>
    <row r="61" spans="1:7" ht="16" hidden="1" customHeight="1" x14ac:dyDescent="0.2">
      <c r="A61" s="34"/>
      <c r="B61" s="58"/>
      <c r="C61" s="35"/>
      <c r="D61" s="36"/>
      <c r="E61" s="36"/>
      <c r="F61" s="36"/>
    </row>
    <row r="62" spans="1:7" ht="16" hidden="1" customHeight="1" x14ac:dyDescent="0.2">
      <c r="A62" s="34"/>
      <c r="B62" s="58"/>
      <c r="C62" s="35"/>
      <c r="D62" s="36"/>
      <c r="E62" s="36"/>
      <c r="F62" s="36"/>
    </row>
    <row r="63" spans="1:7" ht="16" hidden="1" customHeight="1" x14ac:dyDescent="0.2">
      <c r="A63" s="34"/>
      <c r="B63" s="58"/>
      <c r="C63" s="35"/>
      <c r="D63" s="36"/>
      <c r="E63" s="36"/>
      <c r="F63" s="36"/>
    </row>
    <row r="64" spans="1:7" ht="16" hidden="1" customHeight="1" x14ac:dyDescent="0.2">
      <c r="A64" s="34"/>
      <c r="B64" s="58"/>
      <c r="C64" s="35"/>
      <c r="D64" s="36"/>
      <c r="E64" s="36"/>
      <c r="F64" s="36"/>
    </row>
    <row r="65" spans="1:6" ht="16" hidden="1" customHeight="1" x14ac:dyDescent="0.2">
      <c r="A65" s="34"/>
      <c r="B65" s="58"/>
      <c r="C65" s="35"/>
      <c r="D65" s="36"/>
      <c r="E65" s="36"/>
      <c r="F65" s="36"/>
    </row>
    <row r="66" spans="1:6" ht="16" hidden="1" customHeight="1" x14ac:dyDescent="0.2">
      <c r="A66" s="34"/>
      <c r="B66" s="58"/>
      <c r="C66" s="35"/>
      <c r="D66" s="36"/>
      <c r="E66" s="36"/>
      <c r="F66" s="36"/>
    </row>
    <row r="67" spans="1:6" ht="16" hidden="1" customHeight="1" x14ac:dyDescent="0.2">
      <c r="A67" s="34"/>
      <c r="B67" s="58"/>
      <c r="C67" s="35"/>
      <c r="D67" s="36"/>
      <c r="E67" s="36"/>
      <c r="F67" s="36"/>
    </row>
    <row r="68" spans="1:6" ht="16" hidden="1" customHeight="1" x14ac:dyDescent="0.2">
      <c r="A68" s="34"/>
      <c r="B68" s="58"/>
      <c r="C68" s="35"/>
      <c r="D68" s="36"/>
      <c r="E68" s="36"/>
      <c r="F68" s="36"/>
    </row>
    <row r="69" spans="1:6" ht="16" hidden="1" customHeight="1" x14ac:dyDescent="0.2">
      <c r="A69" s="34"/>
      <c r="B69" s="58"/>
      <c r="C69" s="35"/>
      <c r="D69" s="36"/>
      <c r="E69" s="36"/>
      <c r="F69" s="36"/>
    </row>
    <row r="70" spans="1:6" ht="16" hidden="1" customHeight="1" x14ac:dyDescent="0.2">
      <c r="A70" s="34"/>
      <c r="B70" s="58"/>
      <c r="C70" s="35"/>
      <c r="D70" s="36"/>
      <c r="E70" s="36"/>
      <c r="F70" s="36"/>
    </row>
    <row r="71" spans="1:6" ht="16" hidden="1" customHeight="1" x14ac:dyDescent="0.2">
      <c r="A71" s="34"/>
      <c r="B71" s="58"/>
      <c r="C71" s="35"/>
      <c r="D71" s="36"/>
      <c r="E71" s="36"/>
      <c r="F71" s="36"/>
    </row>
    <row r="72" spans="1:6" ht="16" hidden="1" customHeight="1" x14ac:dyDescent="0.2">
      <c r="A72" s="34"/>
      <c r="B72" s="58"/>
      <c r="C72" s="35"/>
      <c r="D72" s="36"/>
      <c r="E72" s="36"/>
      <c r="F72" s="36"/>
    </row>
    <row r="73" spans="1:6" ht="16" hidden="1" customHeight="1" x14ac:dyDescent="0.2">
      <c r="A73" s="34"/>
      <c r="B73" s="58"/>
      <c r="C73" s="35"/>
      <c r="D73" s="36"/>
      <c r="E73" s="36"/>
      <c r="F73" s="36"/>
    </row>
    <row r="74" spans="1:6" ht="16" hidden="1" customHeight="1" x14ac:dyDescent="0.2">
      <c r="A74" s="34"/>
      <c r="B74" s="58"/>
      <c r="C74" s="35"/>
      <c r="D74" s="36"/>
      <c r="E74" s="36"/>
      <c r="F74" s="36"/>
    </row>
    <row r="75" spans="1:6" ht="16" hidden="1" customHeight="1" x14ac:dyDescent="0.2">
      <c r="A75" s="34"/>
      <c r="B75" s="58"/>
      <c r="C75" s="35"/>
      <c r="D75" s="36"/>
      <c r="E75" s="36"/>
      <c r="F75" s="36"/>
    </row>
    <row r="76" spans="1:6" ht="16" hidden="1" customHeight="1" x14ac:dyDescent="0.2">
      <c r="A76" s="34"/>
      <c r="B76" s="58"/>
      <c r="C76" s="35"/>
      <c r="D76" s="36"/>
      <c r="E76" s="36"/>
      <c r="F76" s="36"/>
    </row>
    <row r="77" spans="1:6" ht="16" hidden="1" customHeight="1" x14ac:dyDescent="0.2">
      <c r="A77" s="34"/>
      <c r="B77" s="58"/>
      <c r="C77" s="35"/>
      <c r="D77" s="36"/>
      <c r="E77" s="36"/>
      <c r="F77" s="36"/>
    </row>
    <row r="78" spans="1:6" ht="16" hidden="1" customHeight="1" x14ac:dyDescent="0.2">
      <c r="A78" s="34"/>
      <c r="B78" s="58"/>
      <c r="C78" s="35"/>
      <c r="D78" s="36"/>
      <c r="E78" s="36"/>
      <c r="F78" s="36"/>
    </row>
    <row r="79" spans="1:6" ht="16" hidden="1" customHeight="1" x14ac:dyDescent="0.2">
      <c r="A79" s="34"/>
      <c r="B79" s="58"/>
      <c r="C79" s="35"/>
      <c r="D79" s="36"/>
      <c r="E79" s="36"/>
      <c r="F79" s="36"/>
    </row>
    <row r="80" spans="1:6" ht="16" hidden="1" customHeight="1" x14ac:dyDescent="0.2">
      <c r="A80" s="34"/>
      <c r="B80" s="58"/>
      <c r="C80" s="35"/>
      <c r="D80" s="36"/>
      <c r="E80" s="36"/>
      <c r="F80" s="36"/>
    </row>
    <row r="81" spans="1:6" ht="16" hidden="1" customHeight="1" x14ac:dyDescent="0.2">
      <c r="A81" s="34"/>
      <c r="B81" s="58"/>
      <c r="C81" s="35"/>
      <c r="D81" s="36"/>
      <c r="E81" s="36"/>
      <c r="F81" s="36"/>
    </row>
    <row r="82" spans="1:6" ht="16" hidden="1" customHeight="1" x14ac:dyDescent="0.2">
      <c r="A82" s="34"/>
      <c r="B82" s="58"/>
      <c r="C82" s="35"/>
      <c r="D82" s="36"/>
      <c r="E82" s="36"/>
      <c r="F82" s="36"/>
    </row>
    <row r="83" spans="1:6" ht="16" hidden="1" customHeight="1" x14ac:dyDescent="0.2">
      <c r="A83" s="34"/>
      <c r="B83" s="58"/>
      <c r="C83" s="35"/>
      <c r="D83" s="36"/>
      <c r="E83" s="36"/>
      <c r="F83" s="36"/>
    </row>
    <row r="84" spans="1:6" ht="16" hidden="1" customHeight="1" x14ac:dyDescent="0.2">
      <c r="A84" s="34"/>
      <c r="B84" s="58"/>
      <c r="C84" s="35"/>
      <c r="D84" s="36"/>
      <c r="E84" s="36"/>
      <c r="F84" s="36"/>
    </row>
    <row r="85" spans="1:6" ht="16" hidden="1" customHeight="1" x14ac:dyDescent="0.2">
      <c r="A85" s="34"/>
      <c r="B85" s="58"/>
      <c r="C85" s="35"/>
      <c r="D85" s="36"/>
      <c r="E85" s="36"/>
      <c r="F85" s="36"/>
    </row>
    <row r="86" spans="1:6" ht="16" hidden="1" customHeight="1" x14ac:dyDescent="0.2">
      <c r="A86" s="34"/>
      <c r="B86" s="58"/>
      <c r="C86" s="35"/>
      <c r="D86" s="36"/>
      <c r="E86" s="36"/>
      <c r="F86" s="36"/>
    </row>
    <row r="87" spans="1:6" ht="16" hidden="1" customHeight="1" x14ac:dyDescent="0.2">
      <c r="A87" s="34"/>
      <c r="B87" s="58"/>
      <c r="C87" s="35"/>
      <c r="D87" s="36"/>
      <c r="E87" s="36"/>
      <c r="F87" s="36"/>
    </row>
    <row r="88" spans="1:6" ht="16" hidden="1" customHeight="1" x14ac:dyDescent="0.2">
      <c r="A88" s="34"/>
      <c r="B88" s="58"/>
      <c r="C88" s="35"/>
      <c r="D88" s="36"/>
      <c r="E88" s="36"/>
      <c r="F88" s="36"/>
    </row>
    <row r="89" spans="1:6" ht="16" hidden="1" customHeight="1" x14ac:dyDescent="0.2">
      <c r="A89" s="34"/>
      <c r="B89" s="58"/>
      <c r="C89" s="35"/>
      <c r="D89" s="36"/>
      <c r="E89" s="36"/>
      <c r="F89" s="36"/>
    </row>
    <row r="90" spans="1:6" ht="16" hidden="1" customHeight="1" x14ac:dyDescent="0.2">
      <c r="A90" s="34"/>
      <c r="B90" s="58"/>
      <c r="C90" s="35"/>
      <c r="D90" s="36"/>
      <c r="E90" s="36"/>
      <c r="F90" s="36"/>
    </row>
    <row r="91" spans="1:6" ht="16" hidden="1" customHeight="1" x14ac:dyDescent="0.2">
      <c r="A91" s="34"/>
      <c r="B91" s="58"/>
      <c r="C91" s="35"/>
      <c r="D91" s="36"/>
      <c r="E91" s="36"/>
      <c r="F91" s="36"/>
    </row>
    <row r="92" spans="1:6" ht="16" hidden="1" customHeight="1" x14ac:dyDescent="0.2">
      <c r="A92" s="34"/>
      <c r="B92" s="58"/>
      <c r="C92" s="35"/>
      <c r="D92" s="36"/>
      <c r="E92" s="36"/>
      <c r="F92" s="36"/>
    </row>
    <row r="93" spans="1:6" ht="16" hidden="1" customHeight="1" x14ac:dyDescent="0.2">
      <c r="A93" s="34"/>
      <c r="B93" s="58"/>
      <c r="C93" s="35"/>
      <c r="D93" s="36"/>
      <c r="E93" s="36"/>
      <c r="F93" s="36"/>
    </row>
    <row r="94" spans="1:6" ht="16" hidden="1" customHeight="1" x14ac:dyDescent="0.2">
      <c r="A94" s="34"/>
      <c r="B94" s="58"/>
      <c r="C94" s="35"/>
      <c r="D94" s="36"/>
      <c r="E94" s="36"/>
      <c r="F94" s="36"/>
    </row>
    <row r="95" spans="1:6" ht="16" hidden="1" customHeight="1" x14ac:dyDescent="0.2">
      <c r="A95" s="34"/>
      <c r="B95" s="58"/>
      <c r="C95" s="35"/>
      <c r="D95" s="36"/>
      <c r="E95" s="36"/>
      <c r="F95" s="36"/>
    </row>
    <row r="96" spans="1:6" ht="16" hidden="1" customHeight="1" x14ac:dyDescent="0.2">
      <c r="A96" s="34"/>
      <c r="B96" s="58"/>
      <c r="C96" s="35"/>
      <c r="D96" s="36"/>
      <c r="E96" s="36"/>
      <c r="F96" s="36"/>
    </row>
    <row r="97" spans="1:6" ht="16" hidden="1" customHeight="1" x14ac:dyDescent="0.2">
      <c r="A97" s="34"/>
      <c r="B97" s="58"/>
      <c r="C97" s="35"/>
      <c r="D97" s="36"/>
      <c r="E97" s="36"/>
      <c r="F97" s="36"/>
    </row>
    <row r="98" spans="1:6" ht="16" hidden="1" customHeight="1" x14ac:dyDescent="0.2">
      <c r="A98" s="34"/>
      <c r="B98" s="58"/>
      <c r="C98" s="35"/>
      <c r="D98" s="36"/>
      <c r="E98" s="36"/>
      <c r="F98" s="36"/>
    </row>
    <row r="99" spans="1:6" ht="16" hidden="1" customHeight="1" x14ac:dyDescent="0.2">
      <c r="A99" s="34"/>
      <c r="B99" s="58"/>
      <c r="C99" s="35"/>
      <c r="D99" s="36"/>
      <c r="E99" s="36"/>
      <c r="F99" s="36"/>
    </row>
    <row r="100" spans="1:6" ht="16" hidden="1" customHeight="1" x14ac:dyDescent="0.2">
      <c r="A100" s="34"/>
      <c r="B100" s="58"/>
      <c r="C100" s="35"/>
      <c r="D100" s="36"/>
      <c r="E100" s="36"/>
      <c r="F100" s="36"/>
    </row>
    <row r="101" spans="1:6" ht="16" hidden="1" customHeight="1" x14ac:dyDescent="0.2">
      <c r="A101" s="34"/>
      <c r="B101" s="58"/>
      <c r="C101" s="35"/>
      <c r="D101" s="36"/>
      <c r="E101" s="36"/>
      <c r="F101" s="36"/>
    </row>
    <row r="102" spans="1:6" ht="16" hidden="1" customHeight="1" x14ac:dyDescent="0.2">
      <c r="A102" s="34"/>
      <c r="B102" s="58"/>
      <c r="C102" s="35"/>
      <c r="D102" s="36"/>
      <c r="E102" s="36"/>
      <c r="F102" s="36"/>
    </row>
    <row r="103" spans="1:6" ht="16" hidden="1" customHeight="1" x14ac:dyDescent="0.2">
      <c r="A103" s="34"/>
      <c r="B103" s="58"/>
      <c r="C103" s="35"/>
      <c r="D103" s="36"/>
      <c r="E103" s="36"/>
      <c r="F103" s="36"/>
    </row>
    <row r="104" spans="1:6" ht="16" hidden="1" customHeight="1" x14ac:dyDescent="0.2">
      <c r="A104" s="34"/>
      <c r="B104" s="58"/>
      <c r="C104" s="35"/>
      <c r="D104" s="36"/>
      <c r="E104" s="36"/>
      <c r="F104" s="36"/>
    </row>
    <row r="105" spans="1:6" ht="16" hidden="1" customHeight="1" x14ac:dyDescent="0.2">
      <c r="A105" s="34"/>
      <c r="B105" s="58"/>
      <c r="C105" s="35"/>
      <c r="D105" s="36"/>
      <c r="E105" s="36"/>
      <c r="F105" s="36"/>
    </row>
    <row r="106" spans="1:6" ht="16" hidden="1" customHeight="1" x14ac:dyDescent="0.2">
      <c r="A106" s="34"/>
      <c r="B106" s="58"/>
      <c r="C106" s="35"/>
      <c r="D106" s="36"/>
      <c r="E106" s="36"/>
      <c r="F106" s="36"/>
    </row>
    <row r="107" spans="1:6" ht="16" hidden="1" customHeight="1" x14ac:dyDescent="0.2">
      <c r="A107" s="34"/>
      <c r="B107" s="58"/>
      <c r="C107" s="35"/>
      <c r="D107" s="36"/>
      <c r="E107" s="36"/>
      <c r="F107" s="36"/>
    </row>
    <row r="108" spans="1:6" ht="16" hidden="1" customHeight="1" x14ac:dyDescent="0.2">
      <c r="A108" s="34"/>
      <c r="B108" s="58"/>
      <c r="C108" s="35"/>
      <c r="D108" s="36"/>
      <c r="E108" s="36"/>
      <c r="F108" s="36"/>
    </row>
    <row r="109" spans="1:6" ht="16" hidden="1" customHeight="1" x14ac:dyDescent="0.2">
      <c r="A109" s="34"/>
      <c r="B109" s="58"/>
      <c r="C109" s="35"/>
      <c r="D109" s="36"/>
      <c r="E109" s="36"/>
      <c r="F109" s="36"/>
    </row>
    <row r="110" spans="1:6" ht="16" hidden="1" customHeight="1" x14ac:dyDescent="0.2">
      <c r="A110" s="34"/>
      <c r="B110" s="58"/>
      <c r="C110" s="35"/>
      <c r="D110" s="36"/>
      <c r="E110" s="36"/>
      <c r="F110" s="36"/>
    </row>
    <row r="111" spans="1:6" ht="16" hidden="1" customHeight="1" x14ac:dyDescent="0.2">
      <c r="A111" s="34"/>
      <c r="B111" s="58"/>
      <c r="C111" s="35"/>
      <c r="D111" s="36"/>
      <c r="E111" s="36"/>
      <c r="F111" s="36"/>
    </row>
    <row r="112" spans="1:6" ht="16" hidden="1" customHeight="1" x14ac:dyDescent="0.2">
      <c r="A112" s="34"/>
      <c r="B112" s="58"/>
      <c r="C112" s="35"/>
      <c r="D112" s="36"/>
      <c r="E112" s="36"/>
      <c r="F112" s="36"/>
    </row>
    <row r="113" spans="1:6" ht="16" hidden="1" customHeight="1" x14ac:dyDescent="0.2">
      <c r="A113" s="34"/>
      <c r="B113" s="58"/>
      <c r="C113" s="35"/>
      <c r="D113" s="36"/>
      <c r="E113" s="36"/>
      <c r="F113" s="36"/>
    </row>
    <row r="114" spans="1:6" ht="16" hidden="1" customHeight="1" x14ac:dyDescent="0.2">
      <c r="A114" s="34"/>
      <c r="B114" s="58"/>
      <c r="C114" s="35"/>
      <c r="D114" s="36"/>
      <c r="E114" s="36"/>
      <c r="F114" s="36"/>
    </row>
    <row r="115" spans="1:6" ht="16" hidden="1" customHeight="1" x14ac:dyDescent="0.2">
      <c r="A115" s="34"/>
      <c r="B115" s="58"/>
      <c r="C115" s="35"/>
      <c r="D115" s="36"/>
      <c r="E115" s="36"/>
      <c r="F115" s="36"/>
    </row>
    <row r="116" spans="1:6" ht="16" hidden="1" customHeight="1" x14ac:dyDescent="0.2">
      <c r="A116" s="34"/>
      <c r="B116" s="58"/>
      <c r="C116" s="35"/>
      <c r="D116" s="36"/>
      <c r="E116" s="36"/>
      <c r="F116" s="36"/>
    </row>
    <row r="117" spans="1:6" ht="16" hidden="1" customHeight="1" x14ac:dyDescent="0.2">
      <c r="A117" s="34"/>
      <c r="B117" s="58"/>
      <c r="C117" s="35"/>
      <c r="D117" s="36"/>
      <c r="E117" s="36"/>
      <c r="F117" s="36"/>
    </row>
    <row r="118" spans="1:6" ht="16" hidden="1" customHeight="1" x14ac:dyDescent="0.2">
      <c r="A118" s="34"/>
      <c r="B118" s="58"/>
      <c r="C118" s="35"/>
      <c r="D118" s="36"/>
      <c r="E118" s="36"/>
      <c r="F118" s="36"/>
    </row>
    <row r="119" spans="1:6" ht="16" hidden="1" customHeight="1" x14ac:dyDescent="0.2">
      <c r="A119" s="34"/>
      <c r="B119" s="58"/>
      <c r="C119" s="35"/>
      <c r="D119" s="36"/>
      <c r="E119" s="36"/>
      <c r="F119" s="36"/>
    </row>
    <row r="120" spans="1:6" ht="16" hidden="1" customHeight="1" x14ac:dyDescent="0.2">
      <c r="A120" s="34"/>
      <c r="B120" s="58"/>
      <c r="C120" s="35"/>
      <c r="D120" s="36"/>
      <c r="E120" s="36"/>
      <c r="F120" s="36"/>
    </row>
    <row r="121" spans="1:6" ht="16" hidden="1" customHeight="1" x14ac:dyDescent="0.2">
      <c r="A121" s="34"/>
      <c r="B121" s="58"/>
      <c r="C121" s="35"/>
      <c r="D121" s="36"/>
      <c r="E121" s="36"/>
      <c r="F121" s="36"/>
    </row>
    <row r="122" spans="1:6" ht="16" hidden="1" customHeight="1" x14ac:dyDescent="0.2">
      <c r="A122" s="34"/>
      <c r="B122" s="58"/>
      <c r="C122" s="35"/>
      <c r="D122" s="36"/>
      <c r="E122" s="36"/>
      <c r="F122" s="36"/>
    </row>
    <row r="123" spans="1:6" ht="16" hidden="1" customHeight="1" x14ac:dyDescent="0.2">
      <c r="A123" s="34"/>
      <c r="B123" s="58"/>
      <c r="C123" s="35"/>
      <c r="D123" s="36"/>
      <c r="E123" s="36"/>
      <c r="F123" s="36"/>
    </row>
    <row r="124" spans="1:6" ht="16" hidden="1" customHeight="1" x14ac:dyDescent="0.2">
      <c r="A124" s="34"/>
      <c r="B124" s="58"/>
      <c r="C124" s="35"/>
      <c r="D124" s="36"/>
      <c r="E124" s="36"/>
      <c r="F124" s="36"/>
    </row>
    <row r="125" spans="1:6" ht="16" hidden="1" customHeight="1" x14ac:dyDescent="0.2">
      <c r="A125" s="34"/>
      <c r="B125" s="58"/>
      <c r="C125" s="35"/>
      <c r="D125" s="36"/>
      <c r="E125" s="36"/>
      <c r="F125" s="36"/>
    </row>
    <row r="126" spans="1:6" ht="16" hidden="1" customHeight="1" x14ac:dyDescent="0.2">
      <c r="A126" s="34"/>
      <c r="B126" s="58"/>
      <c r="C126" s="35"/>
      <c r="D126" s="36"/>
      <c r="E126" s="36"/>
      <c r="F126" s="36"/>
    </row>
    <row r="127" spans="1:6" ht="16" hidden="1" customHeight="1" x14ac:dyDescent="0.2">
      <c r="A127" s="34"/>
      <c r="B127" s="58"/>
      <c r="C127" s="35"/>
      <c r="D127" s="36"/>
      <c r="E127" s="36"/>
      <c r="F127" s="36"/>
    </row>
    <row r="128" spans="1:6" ht="16" hidden="1" customHeight="1" x14ac:dyDescent="0.2">
      <c r="A128" s="34"/>
      <c r="B128" s="58"/>
      <c r="C128" s="35"/>
      <c r="D128" s="36"/>
      <c r="E128" s="36"/>
      <c r="F128" s="36"/>
    </row>
    <row r="129" spans="1:6" ht="16" hidden="1" customHeight="1" x14ac:dyDescent="0.2">
      <c r="A129" s="34"/>
      <c r="B129" s="58"/>
      <c r="C129" s="35"/>
      <c r="D129" s="36"/>
      <c r="E129" s="36"/>
      <c r="F129" s="36"/>
    </row>
    <row r="130" spans="1:6" ht="16" hidden="1" customHeight="1" x14ac:dyDescent="0.2">
      <c r="A130" s="34"/>
      <c r="B130" s="58"/>
      <c r="C130" s="35"/>
      <c r="D130" s="36"/>
      <c r="E130" s="36"/>
      <c r="F130" s="36"/>
    </row>
    <row r="131" spans="1:6" ht="16" hidden="1" customHeight="1" x14ac:dyDescent="0.2">
      <c r="A131" s="34"/>
      <c r="B131" s="58"/>
      <c r="C131" s="35"/>
      <c r="D131" s="36"/>
      <c r="E131" s="36"/>
      <c r="F131" s="36"/>
    </row>
    <row r="132" spans="1:6" ht="16" hidden="1" customHeight="1" x14ac:dyDescent="0.2">
      <c r="A132" s="34"/>
      <c r="B132" s="58"/>
      <c r="C132" s="35"/>
      <c r="D132" s="36"/>
      <c r="E132" s="36"/>
      <c r="F132" s="36"/>
    </row>
    <row r="133" spans="1:6" ht="16" hidden="1" customHeight="1" x14ac:dyDescent="0.2">
      <c r="A133" s="34"/>
      <c r="B133" s="58"/>
      <c r="C133" s="35"/>
      <c r="D133" s="36"/>
      <c r="E133" s="36"/>
      <c r="F133" s="36"/>
    </row>
    <row r="134" spans="1:6" ht="16" hidden="1" customHeight="1" x14ac:dyDescent="0.2">
      <c r="A134" s="34"/>
      <c r="B134" s="58"/>
      <c r="C134" s="35"/>
      <c r="D134" s="36"/>
      <c r="E134" s="36"/>
      <c r="F134" s="36"/>
    </row>
    <row r="135" spans="1:6" ht="16" hidden="1" customHeight="1" x14ac:dyDescent="0.2">
      <c r="A135" s="34"/>
      <c r="B135" s="58"/>
      <c r="C135" s="35"/>
      <c r="D135" s="36"/>
      <c r="E135" s="36"/>
      <c r="F135" s="36"/>
    </row>
    <row r="136" spans="1:6" ht="16" hidden="1" customHeight="1" x14ac:dyDescent="0.2">
      <c r="A136" s="34"/>
      <c r="B136" s="58"/>
      <c r="C136" s="35"/>
      <c r="D136" s="36"/>
      <c r="E136" s="36"/>
      <c r="F136" s="36"/>
    </row>
    <row r="137" spans="1:6" ht="16" hidden="1" customHeight="1" x14ac:dyDescent="0.2">
      <c r="A137" s="34"/>
      <c r="B137" s="58"/>
      <c r="C137" s="35"/>
      <c r="D137" s="36"/>
      <c r="E137" s="36"/>
      <c r="F137" s="36"/>
    </row>
    <row r="138" spans="1:6" ht="16" hidden="1" customHeight="1" x14ac:dyDescent="0.2">
      <c r="A138" s="34"/>
      <c r="B138" s="58"/>
      <c r="C138" s="35"/>
      <c r="D138" s="36"/>
      <c r="E138" s="36"/>
      <c r="F138" s="36"/>
    </row>
    <row r="139" spans="1:6" ht="16" hidden="1" customHeight="1" x14ac:dyDescent="0.2">
      <c r="A139" s="34"/>
      <c r="B139" s="58"/>
      <c r="C139" s="35"/>
      <c r="D139" s="36"/>
      <c r="E139" s="36"/>
      <c r="F139" s="36"/>
    </row>
    <row r="140" spans="1:6" ht="16" hidden="1" customHeight="1" x14ac:dyDescent="0.2">
      <c r="A140" s="34"/>
      <c r="B140" s="58"/>
      <c r="C140" s="35"/>
      <c r="D140" s="36"/>
      <c r="E140" s="36"/>
      <c r="F140" s="36"/>
    </row>
    <row r="141" spans="1:6" ht="16" hidden="1" customHeight="1" x14ac:dyDescent="0.2">
      <c r="A141" s="34"/>
      <c r="B141" s="58"/>
      <c r="C141" s="35"/>
      <c r="D141" s="36"/>
      <c r="E141" s="36"/>
      <c r="F141" s="36"/>
    </row>
    <row r="142" spans="1:6" ht="16" hidden="1" customHeight="1" x14ac:dyDescent="0.2">
      <c r="A142" s="34"/>
      <c r="B142" s="58"/>
      <c r="C142" s="35"/>
      <c r="D142" s="36"/>
      <c r="E142" s="36"/>
      <c r="F142" s="36"/>
    </row>
    <row r="143" spans="1:6" ht="16" hidden="1" customHeight="1" x14ac:dyDescent="0.2">
      <c r="A143" s="34"/>
      <c r="B143" s="58"/>
      <c r="C143" s="35"/>
      <c r="D143" s="36"/>
      <c r="E143" s="36"/>
      <c r="F143" s="36"/>
    </row>
    <row r="144" spans="1:6" ht="16" hidden="1" customHeight="1" x14ac:dyDescent="0.2">
      <c r="A144" s="34"/>
      <c r="B144" s="58"/>
      <c r="C144" s="35"/>
      <c r="D144" s="36"/>
      <c r="E144" s="36"/>
      <c r="F144" s="36"/>
    </row>
    <row r="145" spans="1:6" ht="16" hidden="1" customHeight="1" x14ac:dyDescent="0.2">
      <c r="A145" s="34"/>
      <c r="B145" s="58"/>
      <c r="C145" s="35"/>
      <c r="D145" s="36"/>
      <c r="E145" s="36"/>
      <c r="F145" s="36"/>
    </row>
    <row r="146" spans="1:6" ht="16" hidden="1" customHeight="1" x14ac:dyDescent="0.2">
      <c r="A146" s="34"/>
      <c r="B146" s="58"/>
      <c r="C146" s="35"/>
      <c r="D146" s="36"/>
      <c r="E146" s="36"/>
      <c r="F146" s="36"/>
    </row>
    <row r="147" spans="1:6" ht="16" hidden="1" customHeight="1" x14ac:dyDescent="0.2">
      <c r="A147" s="34"/>
      <c r="B147" s="58"/>
      <c r="C147" s="35"/>
      <c r="D147" s="36"/>
      <c r="E147" s="36"/>
      <c r="F147" s="36"/>
    </row>
    <row r="148" spans="1:6" ht="16" hidden="1" customHeight="1" x14ac:dyDescent="0.2">
      <c r="A148" s="34"/>
      <c r="B148" s="58"/>
      <c r="C148" s="35"/>
      <c r="D148" s="36"/>
      <c r="E148" s="36"/>
      <c r="F148" s="36"/>
    </row>
    <row r="149" spans="1:6" ht="16" hidden="1" customHeight="1" x14ac:dyDescent="0.2">
      <c r="A149" s="34"/>
      <c r="B149" s="58"/>
      <c r="C149" s="35"/>
      <c r="D149" s="36"/>
      <c r="E149" s="36"/>
      <c r="F149" s="36"/>
    </row>
    <row r="150" spans="1:6" ht="16" hidden="1" customHeight="1" x14ac:dyDescent="0.2">
      <c r="A150" s="34"/>
      <c r="B150" s="58"/>
      <c r="C150" s="35"/>
      <c r="D150" s="36"/>
      <c r="E150" s="36"/>
      <c r="F150" s="36"/>
    </row>
    <row r="151" spans="1:6" ht="16" hidden="1" customHeight="1" x14ac:dyDescent="0.2">
      <c r="A151" s="34"/>
      <c r="B151" s="58"/>
      <c r="C151" s="35"/>
      <c r="D151" s="36"/>
      <c r="E151" s="36"/>
      <c r="F151" s="36"/>
    </row>
    <row r="152" spans="1:6" ht="16" hidden="1" customHeight="1" x14ac:dyDescent="0.2">
      <c r="A152" s="34"/>
      <c r="B152" s="58"/>
      <c r="C152" s="35"/>
      <c r="D152" s="36"/>
      <c r="E152" s="36"/>
      <c r="F152" s="36"/>
    </row>
    <row r="153" spans="1:6" ht="16" hidden="1" customHeight="1" x14ac:dyDescent="0.2">
      <c r="A153" s="34"/>
      <c r="B153" s="58"/>
      <c r="C153" s="35"/>
      <c r="D153" s="36"/>
      <c r="E153" s="36"/>
      <c r="F153" s="36"/>
    </row>
    <row r="154" spans="1:6" ht="16" hidden="1" customHeight="1" x14ac:dyDescent="0.2">
      <c r="A154" s="34"/>
      <c r="B154" s="58"/>
      <c r="C154" s="35"/>
      <c r="D154" s="36"/>
      <c r="E154" s="36"/>
      <c r="F154" s="36"/>
    </row>
    <row r="155" spans="1:6" ht="16" hidden="1" customHeight="1" x14ac:dyDescent="0.2">
      <c r="A155" s="34"/>
      <c r="B155" s="58"/>
      <c r="C155" s="35"/>
      <c r="D155" s="36"/>
      <c r="E155" s="36"/>
      <c r="F155" s="36"/>
    </row>
    <row r="156" spans="1:6" ht="16" hidden="1" customHeight="1" x14ac:dyDescent="0.2">
      <c r="A156" s="34"/>
      <c r="B156" s="58"/>
      <c r="C156" s="35"/>
      <c r="D156" s="36"/>
      <c r="E156" s="36"/>
      <c r="F156" s="36"/>
    </row>
    <row r="157" spans="1:6" ht="16" hidden="1" customHeight="1" x14ac:dyDescent="0.2">
      <c r="A157" s="34"/>
      <c r="B157" s="58"/>
      <c r="C157" s="35"/>
      <c r="D157" s="36"/>
      <c r="E157" s="36"/>
      <c r="F157" s="36"/>
    </row>
    <row r="158" spans="1:6" ht="16" hidden="1" customHeight="1" x14ac:dyDescent="0.2">
      <c r="A158" s="34"/>
      <c r="B158" s="58"/>
      <c r="C158" s="35"/>
      <c r="D158" s="36"/>
      <c r="E158" s="36"/>
      <c r="F158" s="36"/>
    </row>
    <row r="159" spans="1:6" ht="16" hidden="1" customHeight="1" x14ac:dyDescent="0.2">
      <c r="A159" s="34"/>
      <c r="B159" s="58"/>
      <c r="C159" s="35"/>
      <c r="D159" s="36"/>
      <c r="E159" s="36"/>
      <c r="F159" s="36"/>
    </row>
    <row r="160" spans="1:6" ht="16" hidden="1" customHeight="1" x14ac:dyDescent="0.2">
      <c r="A160" s="34"/>
      <c r="B160" s="58"/>
      <c r="C160" s="35"/>
      <c r="D160" s="36"/>
      <c r="E160" s="36"/>
      <c r="F160" s="36"/>
    </row>
    <row r="161" spans="1:6" ht="16" hidden="1" customHeight="1" x14ac:dyDescent="0.2">
      <c r="A161" s="34"/>
      <c r="B161" s="58"/>
      <c r="C161" s="35"/>
      <c r="D161" s="36"/>
      <c r="E161" s="36"/>
      <c r="F161" s="36"/>
    </row>
    <row r="162" spans="1:6" ht="16" hidden="1" customHeight="1" x14ac:dyDescent="0.2">
      <c r="A162" s="34"/>
      <c r="B162" s="58"/>
      <c r="C162" s="35"/>
      <c r="D162" s="36"/>
      <c r="E162" s="36"/>
      <c r="F162" s="36"/>
    </row>
    <row r="163" spans="1:6" ht="16" hidden="1" customHeight="1" x14ac:dyDescent="0.2">
      <c r="A163" s="34"/>
      <c r="B163" s="58"/>
      <c r="C163" s="35"/>
      <c r="D163" s="36"/>
      <c r="E163" s="36"/>
      <c r="F163" s="36"/>
    </row>
    <row r="164" spans="1:6" ht="16" hidden="1" customHeight="1" x14ac:dyDescent="0.2">
      <c r="A164" s="34"/>
      <c r="B164" s="58"/>
      <c r="C164" s="35"/>
      <c r="D164" s="36"/>
      <c r="E164" s="36"/>
      <c r="F164" s="36"/>
    </row>
    <row r="165" spans="1:6" ht="16" hidden="1" customHeight="1" x14ac:dyDescent="0.2">
      <c r="A165" s="34"/>
      <c r="B165" s="58"/>
      <c r="C165" s="35"/>
      <c r="D165" s="36"/>
      <c r="E165" s="36"/>
      <c r="F165" s="36"/>
    </row>
    <row r="166" spans="1:6" ht="16" hidden="1" customHeight="1" x14ac:dyDescent="0.2">
      <c r="A166" s="34"/>
      <c r="B166" s="58"/>
      <c r="C166" s="35"/>
      <c r="D166" s="36"/>
      <c r="E166" s="36"/>
      <c r="F166" s="36"/>
    </row>
    <row r="167" spans="1:6" ht="16" hidden="1" customHeight="1" x14ac:dyDescent="0.2">
      <c r="A167" s="34"/>
      <c r="B167" s="58"/>
      <c r="C167" s="35"/>
      <c r="D167" s="36"/>
      <c r="E167" s="36"/>
      <c r="F167" s="36"/>
    </row>
    <row r="168" spans="1:6" ht="16" hidden="1" customHeight="1" x14ac:dyDescent="0.2">
      <c r="A168" s="34"/>
      <c r="B168" s="58"/>
      <c r="C168" s="35"/>
      <c r="D168" s="36"/>
      <c r="E168" s="36"/>
      <c r="F168" s="36"/>
    </row>
    <row r="169" spans="1:6" ht="16" hidden="1" customHeight="1" x14ac:dyDescent="0.2">
      <c r="A169" s="34"/>
      <c r="B169" s="58"/>
      <c r="C169" s="35"/>
      <c r="D169" s="36"/>
      <c r="E169" s="36"/>
      <c r="F169" s="36"/>
    </row>
    <row r="170" spans="1:6" ht="16" hidden="1" customHeight="1" x14ac:dyDescent="0.2">
      <c r="A170" s="34"/>
      <c r="B170" s="58"/>
      <c r="C170" s="35"/>
      <c r="D170" s="36"/>
      <c r="E170" s="36"/>
      <c r="F170" s="36"/>
    </row>
    <row r="171" spans="1:6" ht="16" hidden="1" customHeight="1" x14ac:dyDescent="0.2">
      <c r="A171" s="34"/>
      <c r="B171" s="58"/>
      <c r="C171" s="35"/>
      <c r="D171" s="36"/>
      <c r="E171" s="36"/>
      <c r="F171" s="36"/>
    </row>
    <row r="172" spans="1:6" ht="16" hidden="1" customHeight="1" x14ac:dyDescent="0.2">
      <c r="A172" s="34"/>
      <c r="B172" s="58"/>
      <c r="C172" s="35"/>
      <c r="D172" s="36"/>
      <c r="E172" s="36"/>
      <c r="F172" s="36"/>
    </row>
    <row r="173" spans="1:6" ht="16" hidden="1" customHeight="1" x14ac:dyDescent="0.2">
      <c r="A173" s="34"/>
      <c r="B173" s="58"/>
      <c r="C173" s="35"/>
      <c r="D173" s="36"/>
      <c r="E173" s="36"/>
      <c r="F173" s="36"/>
    </row>
    <row r="174" spans="1:6" ht="16" hidden="1" customHeight="1" x14ac:dyDescent="0.2">
      <c r="A174" s="34"/>
      <c r="B174" s="58"/>
      <c r="C174" s="35"/>
      <c r="D174" s="36"/>
      <c r="E174" s="36"/>
      <c r="F174" s="36"/>
    </row>
    <row r="175" spans="1:6" ht="16" hidden="1" customHeight="1" x14ac:dyDescent="0.2">
      <c r="A175" s="34"/>
      <c r="B175" s="58"/>
      <c r="C175" s="35"/>
      <c r="D175" s="36"/>
      <c r="E175" s="36"/>
      <c r="F175" s="36"/>
    </row>
    <row r="176" spans="1:6" ht="16" hidden="1" customHeight="1" x14ac:dyDescent="0.2">
      <c r="A176" s="34"/>
      <c r="B176" s="58"/>
      <c r="C176" s="35"/>
      <c r="D176" s="36"/>
      <c r="E176" s="36"/>
      <c r="F176" s="36"/>
    </row>
    <row r="177" spans="1:6" ht="16" hidden="1" customHeight="1" x14ac:dyDescent="0.2">
      <c r="A177" s="34"/>
      <c r="B177" s="58"/>
      <c r="C177" s="35"/>
      <c r="D177" s="36"/>
      <c r="E177" s="36"/>
      <c r="F177" s="36"/>
    </row>
    <row r="178" spans="1:6" ht="16" hidden="1" customHeight="1" x14ac:dyDescent="0.2">
      <c r="A178" s="34"/>
      <c r="B178" s="58"/>
      <c r="C178" s="35"/>
      <c r="D178" s="36"/>
      <c r="E178" s="36"/>
      <c r="F178" s="36"/>
    </row>
    <row r="179" spans="1:6" ht="16" hidden="1" customHeight="1" x14ac:dyDescent="0.2">
      <c r="A179" s="34"/>
      <c r="B179" s="58"/>
      <c r="C179" s="35"/>
      <c r="D179" s="36"/>
      <c r="E179" s="36"/>
      <c r="F179" s="36"/>
    </row>
    <row r="180" spans="1:6" ht="16" hidden="1" customHeight="1" x14ac:dyDescent="0.2">
      <c r="A180" s="34"/>
      <c r="B180" s="58"/>
      <c r="C180" s="35"/>
      <c r="D180" s="36"/>
      <c r="E180" s="36"/>
      <c r="F180" s="36"/>
    </row>
    <row r="181" spans="1:6" ht="16" hidden="1" customHeight="1" x14ac:dyDescent="0.2">
      <c r="A181" s="34"/>
      <c r="B181" s="58"/>
      <c r="C181" s="35"/>
      <c r="D181" s="36"/>
      <c r="E181" s="36"/>
      <c r="F181" s="36"/>
    </row>
    <row r="182" spans="1:6" ht="16" hidden="1" customHeight="1" x14ac:dyDescent="0.2">
      <c r="A182" s="34"/>
      <c r="B182" s="58"/>
      <c r="C182" s="35"/>
      <c r="D182" s="36"/>
      <c r="E182" s="36"/>
      <c r="F182" s="36"/>
    </row>
    <row r="183" spans="1:6" ht="16" hidden="1" customHeight="1" x14ac:dyDescent="0.2">
      <c r="A183" s="34"/>
      <c r="B183" s="58"/>
      <c r="C183" s="35"/>
      <c r="D183" s="36"/>
      <c r="E183" s="36"/>
      <c r="F183" s="36"/>
    </row>
    <row r="184" spans="1:6" ht="16" hidden="1" customHeight="1" x14ac:dyDescent="0.2">
      <c r="A184" s="34"/>
      <c r="B184" s="58"/>
      <c r="C184" s="35"/>
      <c r="D184" s="36"/>
      <c r="E184" s="36"/>
      <c r="F184" s="36"/>
    </row>
    <row r="185" spans="1:6" ht="16" hidden="1" customHeight="1" x14ac:dyDescent="0.2">
      <c r="A185" s="34"/>
      <c r="B185" s="58"/>
      <c r="C185" s="35"/>
      <c r="D185" s="36"/>
      <c r="E185" s="36"/>
      <c r="F185" s="36"/>
    </row>
    <row r="186" spans="1:6" ht="16" hidden="1" customHeight="1" x14ac:dyDescent="0.2">
      <c r="A186" s="34"/>
      <c r="B186" s="58"/>
      <c r="C186" s="35"/>
      <c r="D186" s="36"/>
      <c r="E186" s="36"/>
      <c r="F186" s="36"/>
    </row>
    <row r="187" spans="1:6" ht="16" hidden="1" customHeight="1" x14ac:dyDescent="0.2">
      <c r="A187" s="34"/>
      <c r="B187" s="58"/>
      <c r="C187" s="35"/>
      <c r="D187" s="36"/>
      <c r="E187" s="36"/>
      <c r="F187" s="36"/>
    </row>
    <row r="188" spans="1:6" ht="16" hidden="1" customHeight="1" x14ac:dyDescent="0.2">
      <c r="A188" s="34"/>
      <c r="B188" s="58"/>
      <c r="C188" s="35"/>
      <c r="D188" s="36"/>
      <c r="E188" s="36"/>
      <c r="F188" s="36"/>
    </row>
    <row r="189" spans="1:6" ht="16" hidden="1" customHeight="1" x14ac:dyDescent="0.2">
      <c r="A189" s="34"/>
      <c r="B189" s="58"/>
      <c r="C189" s="35"/>
      <c r="D189" s="36"/>
      <c r="E189" s="36"/>
      <c r="F189" s="36"/>
    </row>
    <row r="190" spans="1:6" ht="16" hidden="1" customHeight="1" x14ac:dyDescent="0.2">
      <c r="A190" s="34"/>
      <c r="B190" s="58"/>
      <c r="C190" s="35"/>
      <c r="D190" s="36"/>
      <c r="E190" s="36"/>
      <c r="F190" s="36"/>
    </row>
    <row r="191" spans="1:6" ht="16" hidden="1" customHeight="1" x14ac:dyDescent="0.2">
      <c r="A191" s="34"/>
      <c r="B191" s="58"/>
      <c r="C191" s="35"/>
      <c r="D191" s="36"/>
      <c r="E191" s="36"/>
      <c r="F191" s="36"/>
    </row>
    <row r="192" spans="1:6" ht="16" hidden="1" customHeight="1" x14ac:dyDescent="0.2">
      <c r="A192" s="34"/>
      <c r="B192" s="58"/>
      <c r="C192" s="35"/>
      <c r="D192" s="36"/>
      <c r="E192" s="36"/>
      <c r="F192" s="36"/>
    </row>
    <row r="193" spans="1:6" ht="16" hidden="1" customHeight="1" x14ac:dyDescent="0.2">
      <c r="A193" s="34"/>
      <c r="B193" s="58"/>
      <c r="C193" s="35"/>
      <c r="D193" s="36"/>
      <c r="E193" s="36"/>
      <c r="F193" s="36"/>
    </row>
    <row r="194" spans="1:6" ht="16" hidden="1" customHeight="1" x14ac:dyDescent="0.2">
      <c r="A194" s="34"/>
      <c r="B194" s="58"/>
      <c r="C194" s="35"/>
      <c r="D194" s="36"/>
      <c r="E194" s="36"/>
      <c r="F194" s="36"/>
    </row>
    <row r="195" spans="1:6" ht="16" hidden="1" customHeight="1" x14ac:dyDescent="0.2">
      <c r="A195" s="34"/>
      <c r="B195" s="58"/>
      <c r="C195" s="35"/>
      <c r="D195" s="36"/>
      <c r="E195" s="36"/>
      <c r="F195" s="36"/>
    </row>
    <row r="196" spans="1:6" ht="16" hidden="1" customHeight="1" x14ac:dyDescent="0.2">
      <c r="A196" s="34"/>
      <c r="B196" s="58"/>
      <c r="C196" s="35"/>
      <c r="D196" s="36"/>
      <c r="E196" s="36"/>
      <c r="F196" s="36"/>
    </row>
    <row r="197" spans="1:6" ht="16" hidden="1" customHeight="1" x14ac:dyDescent="0.2">
      <c r="A197" s="34"/>
      <c r="B197" s="58"/>
      <c r="C197" s="35"/>
      <c r="D197" s="36"/>
      <c r="E197" s="36"/>
      <c r="F197" s="36"/>
    </row>
    <row r="198" spans="1:6" ht="16" hidden="1" customHeight="1" x14ac:dyDescent="0.2">
      <c r="A198" s="34"/>
      <c r="B198" s="58"/>
      <c r="C198" s="35"/>
      <c r="D198" s="36"/>
      <c r="E198" s="36"/>
      <c r="F198" s="36"/>
    </row>
    <row r="199" spans="1:6" ht="16" hidden="1" customHeight="1" x14ac:dyDescent="0.2">
      <c r="A199" s="34"/>
      <c r="B199" s="58"/>
      <c r="C199" s="35"/>
      <c r="D199" s="36"/>
      <c r="E199" s="36"/>
      <c r="F199" s="36"/>
    </row>
    <row r="200" spans="1:6" ht="16" hidden="1" customHeight="1" x14ac:dyDescent="0.2">
      <c r="A200" s="34"/>
      <c r="B200" s="58"/>
      <c r="C200" s="35"/>
      <c r="D200" s="36"/>
      <c r="E200" s="36"/>
      <c r="F200" s="36"/>
    </row>
    <row r="201" spans="1:6" ht="16" hidden="1" customHeight="1" x14ac:dyDescent="0.2">
      <c r="A201" s="34"/>
      <c r="B201" s="58"/>
      <c r="C201" s="35"/>
      <c r="D201" s="36"/>
      <c r="E201" s="36"/>
      <c r="F201" s="36"/>
    </row>
    <row r="202" spans="1:6" ht="16" hidden="1" customHeight="1" x14ac:dyDescent="0.2">
      <c r="A202" s="34"/>
      <c r="B202" s="58"/>
      <c r="C202" s="35"/>
      <c r="D202" s="36"/>
      <c r="E202" s="36"/>
      <c r="F202" s="36"/>
    </row>
    <row r="203" spans="1:6" ht="16" hidden="1" customHeight="1" x14ac:dyDescent="0.2">
      <c r="A203" s="34"/>
      <c r="B203" s="58"/>
      <c r="C203" s="35"/>
      <c r="D203" s="36"/>
      <c r="E203" s="36"/>
      <c r="F203" s="36"/>
    </row>
    <row r="204" spans="1:6" ht="16" hidden="1" customHeight="1" x14ac:dyDescent="0.2">
      <c r="A204" s="34"/>
      <c r="B204" s="58"/>
      <c r="C204" s="35"/>
      <c r="D204" s="36"/>
      <c r="E204" s="36"/>
      <c r="F204" s="36"/>
    </row>
    <row r="205" spans="1:6" ht="16" hidden="1" customHeight="1" x14ac:dyDescent="0.2">
      <c r="A205" s="34"/>
      <c r="B205" s="58"/>
      <c r="C205" s="35"/>
      <c r="D205" s="36"/>
      <c r="E205" s="36"/>
      <c r="F205" s="36"/>
    </row>
    <row r="206" spans="1:6" ht="16" hidden="1" customHeight="1" x14ac:dyDescent="0.2">
      <c r="A206" s="34"/>
      <c r="B206" s="58"/>
      <c r="C206" s="35"/>
      <c r="D206" s="36"/>
      <c r="E206" s="36"/>
      <c r="F206" s="36"/>
    </row>
    <row r="207" spans="1:6" ht="16" hidden="1" customHeight="1" x14ac:dyDescent="0.2">
      <c r="A207" s="34"/>
      <c r="B207" s="58"/>
      <c r="C207" s="35"/>
      <c r="D207" s="36"/>
      <c r="E207" s="36"/>
      <c r="F207" s="36"/>
    </row>
    <row r="208" spans="1:6" ht="16" hidden="1" customHeight="1" x14ac:dyDescent="0.2">
      <c r="A208" s="34"/>
      <c r="B208" s="58"/>
      <c r="C208" s="35"/>
      <c r="D208" s="36"/>
      <c r="E208" s="36"/>
      <c r="F208" s="36"/>
    </row>
    <row r="209" spans="1:6" ht="16" hidden="1" customHeight="1" x14ac:dyDescent="0.2">
      <c r="A209" s="34"/>
      <c r="B209" s="58"/>
      <c r="C209" s="35"/>
      <c r="D209" s="36"/>
      <c r="E209" s="36"/>
      <c r="F209" s="36"/>
    </row>
    <row r="210" spans="1:6" ht="16" hidden="1" customHeight="1" x14ac:dyDescent="0.2">
      <c r="A210" s="34"/>
      <c r="B210" s="58"/>
      <c r="C210" s="35"/>
      <c r="D210" s="36"/>
      <c r="E210" s="36"/>
      <c r="F210" s="36"/>
    </row>
    <row r="211" spans="1:6" ht="16" hidden="1" customHeight="1" x14ac:dyDescent="0.2">
      <c r="A211" s="34"/>
      <c r="B211" s="58"/>
      <c r="C211" s="35"/>
      <c r="D211" s="36"/>
      <c r="E211" s="36"/>
      <c r="F211" s="36"/>
    </row>
    <row r="212" spans="1:6" ht="16" hidden="1" customHeight="1" x14ac:dyDescent="0.2">
      <c r="A212" s="34"/>
      <c r="B212" s="58"/>
      <c r="C212" s="35"/>
      <c r="D212" s="36"/>
      <c r="E212" s="36"/>
      <c r="F212" s="36"/>
    </row>
    <row r="213" spans="1:6" ht="16" hidden="1" customHeight="1" x14ac:dyDescent="0.2">
      <c r="A213" s="34"/>
      <c r="B213" s="58"/>
      <c r="C213" s="35"/>
      <c r="D213" s="36"/>
      <c r="E213" s="36"/>
      <c r="F213" s="36"/>
    </row>
    <row r="214" spans="1:6" ht="16" hidden="1" customHeight="1" x14ac:dyDescent="0.2">
      <c r="A214" s="34"/>
      <c r="B214" s="58"/>
      <c r="C214" s="35"/>
      <c r="D214" s="36"/>
      <c r="E214" s="36"/>
      <c r="F214" s="36"/>
    </row>
    <row r="215" spans="1:6" ht="16" hidden="1" customHeight="1" x14ac:dyDescent="0.2">
      <c r="A215" s="34"/>
      <c r="B215" s="58"/>
      <c r="C215" s="35"/>
      <c r="D215" s="36"/>
      <c r="E215" s="36"/>
      <c r="F215" s="36"/>
    </row>
    <row r="216" spans="1:6" ht="16" hidden="1" customHeight="1" x14ac:dyDescent="0.2">
      <c r="A216" s="34"/>
      <c r="B216" s="58"/>
      <c r="C216" s="35"/>
      <c r="D216" s="36"/>
      <c r="E216" s="36"/>
      <c r="F216" s="36"/>
    </row>
    <row r="217" spans="1:6" ht="16" hidden="1" customHeight="1" x14ac:dyDescent="0.2">
      <c r="A217" s="34"/>
      <c r="B217" s="58"/>
      <c r="C217" s="35"/>
      <c r="D217" s="36"/>
      <c r="E217" s="36"/>
      <c r="F217" s="36"/>
    </row>
    <row r="218" spans="1:6" ht="16" hidden="1" customHeight="1" x14ac:dyDescent="0.2">
      <c r="A218" s="34"/>
      <c r="B218" s="58"/>
      <c r="C218" s="35"/>
      <c r="D218" s="36"/>
      <c r="E218" s="36"/>
      <c r="F218" s="36"/>
    </row>
    <row r="219" spans="1:6" ht="16" hidden="1" customHeight="1" x14ac:dyDescent="0.2">
      <c r="A219" s="34"/>
      <c r="B219" s="58"/>
      <c r="C219" s="35"/>
      <c r="D219" s="36"/>
      <c r="E219" s="36"/>
      <c r="F219" s="36"/>
    </row>
    <row r="220" spans="1:6" ht="16" hidden="1" customHeight="1" x14ac:dyDescent="0.2">
      <c r="A220" s="34"/>
      <c r="B220" s="58"/>
      <c r="C220" s="35"/>
      <c r="D220" s="36"/>
      <c r="E220" s="36"/>
      <c r="F220" s="36"/>
    </row>
    <row r="221" spans="1:6" ht="16" hidden="1" customHeight="1" x14ac:dyDescent="0.2">
      <c r="A221" s="34"/>
      <c r="B221" s="58"/>
      <c r="C221" s="35"/>
      <c r="D221" s="36"/>
      <c r="E221" s="36"/>
      <c r="F221" s="36"/>
    </row>
    <row r="222" spans="1:6" ht="16" hidden="1" customHeight="1" x14ac:dyDescent="0.2">
      <c r="A222" s="34"/>
      <c r="B222" s="58"/>
      <c r="C222" s="35"/>
      <c r="D222" s="36"/>
      <c r="E222" s="36"/>
      <c r="F222" s="36"/>
    </row>
    <row r="223" spans="1:6" ht="16" hidden="1" customHeight="1" x14ac:dyDescent="0.2">
      <c r="A223" s="34"/>
      <c r="B223" s="58"/>
      <c r="C223" s="35"/>
      <c r="D223" s="36"/>
      <c r="E223" s="36"/>
      <c r="F223" s="36"/>
    </row>
    <row r="224" spans="1:6" ht="16" hidden="1" customHeight="1" x14ac:dyDescent="0.2">
      <c r="A224" s="34"/>
      <c r="B224" s="58"/>
      <c r="C224" s="35"/>
      <c r="D224" s="36"/>
      <c r="E224" s="36"/>
      <c r="F224" s="36"/>
    </row>
    <row r="225" spans="1:6" ht="16" hidden="1" customHeight="1" x14ac:dyDescent="0.2">
      <c r="A225" s="34"/>
      <c r="B225" s="58"/>
      <c r="C225" s="35"/>
      <c r="D225" s="36"/>
      <c r="E225" s="36"/>
      <c r="F225" s="36"/>
    </row>
    <row r="226" spans="1:6" ht="16" hidden="1" customHeight="1" x14ac:dyDescent="0.2">
      <c r="A226" s="34"/>
      <c r="B226" s="58"/>
      <c r="C226" s="35"/>
      <c r="D226" s="36"/>
      <c r="E226" s="36"/>
      <c r="F226" s="36"/>
    </row>
    <row r="227" spans="1:6" ht="16" hidden="1" customHeight="1" x14ac:dyDescent="0.2">
      <c r="A227" s="34"/>
      <c r="B227" s="58"/>
      <c r="C227" s="35"/>
      <c r="D227" s="36"/>
      <c r="E227" s="36"/>
      <c r="F227" s="36"/>
    </row>
    <row r="228" spans="1:6" ht="16" hidden="1" customHeight="1" x14ac:dyDescent="0.2">
      <c r="A228" s="34"/>
      <c r="B228" s="58"/>
      <c r="C228" s="35"/>
      <c r="D228" s="36"/>
      <c r="E228" s="36"/>
      <c r="F228" s="36"/>
    </row>
    <row r="229" spans="1:6" ht="16" hidden="1" customHeight="1" x14ac:dyDescent="0.2">
      <c r="A229" s="34"/>
      <c r="B229" s="58"/>
      <c r="C229" s="35"/>
      <c r="D229" s="36"/>
      <c r="E229" s="36"/>
      <c r="F229" s="36"/>
    </row>
    <row r="230" spans="1:6" ht="16" hidden="1" customHeight="1" x14ac:dyDescent="0.2">
      <c r="A230" s="34"/>
      <c r="B230" s="58"/>
      <c r="C230" s="35"/>
      <c r="D230" s="36"/>
      <c r="E230" s="36"/>
      <c r="F230" s="36"/>
    </row>
    <row r="231" spans="1:6" ht="16" hidden="1" customHeight="1" x14ac:dyDescent="0.2">
      <c r="A231" s="34"/>
      <c r="B231" s="58"/>
      <c r="C231" s="35"/>
      <c r="D231" s="36"/>
      <c r="E231" s="36"/>
      <c r="F231" s="36"/>
    </row>
    <row r="232" spans="1:6" ht="16" hidden="1" customHeight="1" x14ac:dyDescent="0.2">
      <c r="A232" s="34"/>
      <c r="B232" s="58"/>
      <c r="C232" s="35"/>
      <c r="D232" s="36"/>
      <c r="E232" s="36"/>
      <c r="F232" s="36"/>
    </row>
    <row r="233" spans="1:6" ht="16" hidden="1" customHeight="1" x14ac:dyDescent="0.2">
      <c r="A233" s="34"/>
      <c r="B233" s="58"/>
      <c r="C233" s="35"/>
      <c r="D233" s="36"/>
      <c r="E233" s="36"/>
      <c r="F233" s="36"/>
    </row>
    <row r="234" spans="1:6" ht="16" hidden="1" customHeight="1" x14ac:dyDescent="0.2">
      <c r="A234" s="34"/>
      <c r="B234" s="58"/>
      <c r="C234" s="35"/>
      <c r="D234" s="36"/>
      <c r="E234" s="36"/>
      <c r="F234" s="36"/>
    </row>
    <row r="235" spans="1:6" ht="16" hidden="1" customHeight="1" x14ac:dyDescent="0.2">
      <c r="A235" s="34"/>
      <c r="B235" s="58"/>
      <c r="C235" s="35"/>
      <c r="D235" s="36"/>
      <c r="E235" s="36"/>
      <c r="F235" s="36"/>
    </row>
    <row r="236" spans="1:6" ht="16" hidden="1" customHeight="1" x14ac:dyDescent="0.2">
      <c r="A236" s="34"/>
      <c r="B236" s="58"/>
      <c r="C236" s="35"/>
      <c r="D236" s="36"/>
      <c r="E236" s="36"/>
      <c r="F236" s="36"/>
    </row>
    <row r="237" spans="1:6" ht="16" hidden="1" customHeight="1" x14ac:dyDescent="0.2">
      <c r="A237" s="34"/>
      <c r="B237" s="58"/>
      <c r="C237" s="35"/>
      <c r="D237" s="36"/>
      <c r="E237" s="36"/>
      <c r="F237" s="36"/>
    </row>
    <row r="238" spans="1:6" ht="16" hidden="1" customHeight="1" x14ac:dyDescent="0.2">
      <c r="A238" s="34"/>
      <c r="B238" s="58"/>
      <c r="C238" s="35"/>
      <c r="D238" s="36"/>
      <c r="E238" s="36"/>
      <c r="F238" s="36"/>
    </row>
    <row r="239" spans="1:6" ht="16" hidden="1" customHeight="1" x14ac:dyDescent="0.2">
      <c r="A239" s="34"/>
      <c r="B239" s="58"/>
      <c r="C239" s="35"/>
      <c r="D239" s="36"/>
      <c r="E239" s="36"/>
      <c r="F239" s="36"/>
    </row>
    <row r="240" spans="1:6" ht="16" hidden="1" customHeight="1" x14ac:dyDescent="0.2">
      <c r="A240" s="34"/>
      <c r="B240" s="58"/>
      <c r="C240" s="35"/>
      <c r="D240" s="36"/>
      <c r="E240" s="36"/>
      <c r="F240" s="36"/>
    </row>
    <row r="241" spans="1:6" ht="16" hidden="1" customHeight="1" x14ac:dyDescent="0.2">
      <c r="A241" s="34"/>
      <c r="B241" s="58"/>
      <c r="C241" s="35"/>
      <c r="D241" s="36"/>
      <c r="E241" s="36"/>
      <c r="F241" s="36"/>
    </row>
    <row r="242" spans="1:6" ht="16" hidden="1" customHeight="1" x14ac:dyDescent="0.2">
      <c r="A242" s="34"/>
      <c r="B242" s="58"/>
      <c r="C242" s="35"/>
      <c r="D242" s="36"/>
      <c r="E242" s="36"/>
      <c r="F242" s="36"/>
    </row>
    <row r="243" spans="1:6" ht="16" hidden="1" customHeight="1" x14ac:dyDescent="0.2">
      <c r="A243" s="34"/>
      <c r="B243" s="58"/>
      <c r="C243" s="35"/>
      <c r="D243" s="36"/>
      <c r="E243" s="36"/>
      <c r="F243" s="36"/>
    </row>
    <row r="244" spans="1:6" ht="16" hidden="1" customHeight="1" x14ac:dyDescent="0.2">
      <c r="A244" s="34"/>
      <c r="B244" s="58"/>
      <c r="C244" s="35"/>
      <c r="D244" s="36"/>
      <c r="E244" s="36"/>
      <c r="F244" s="36"/>
    </row>
    <row r="245" spans="1:6" ht="16" hidden="1" customHeight="1" x14ac:dyDescent="0.2">
      <c r="A245" s="34"/>
      <c r="B245" s="58"/>
      <c r="C245" s="35"/>
      <c r="D245" s="36"/>
      <c r="E245" s="36"/>
      <c r="F245" s="36"/>
    </row>
    <row r="246" spans="1:6" ht="16" hidden="1" customHeight="1" x14ac:dyDescent="0.2">
      <c r="A246" s="34"/>
      <c r="B246" s="58"/>
      <c r="C246" s="35"/>
      <c r="D246" s="36"/>
      <c r="E246" s="36"/>
      <c r="F246" s="36"/>
    </row>
    <row r="247" spans="1:6" ht="16" hidden="1" customHeight="1" x14ac:dyDescent="0.2">
      <c r="A247" s="34"/>
      <c r="B247" s="58"/>
      <c r="C247" s="35"/>
      <c r="D247" s="36"/>
      <c r="E247" s="36"/>
      <c r="F247" s="36"/>
    </row>
    <row r="248" spans="1:6" ht="16" hidden="1" customHeight="1" x14ac:dyDescent="0.2">
      <c r="A248" s="34"/>
      <c r="B248" s="58"/>
      <c r="C248" s="35"/>
      <c r="D248" s="36"/>
      <c r="E248" s="36"/>
      <c r="F248" s="36"/>
    </row>
    <row r="249" spans="1:6" ht="16" hidden="1" customHeight="1" x14ac:dyDescent="0.2">
      <c r="A249" s="34"/>
      <c r="B249" s="58"/>
      <c r="C249" s="35"/>
      <c r="D249" s="36"/>
      <c r="E249" s="36"/>
      <c r="F249" s="36"/>
    </row>
    <row r="250" spans="1:6" ht="16" hidden="1" customHeight="1" x14ac:dyDescent="0.2">
      <c r="A250" s="34"/>
      <c r="B250" s="58"/>
      <c r="C250" s="35"/>
      <c r="D250" s="36"/>
      <c r="E250" s="36"/>
      <c r="F250" s="36"/>
    </row>
    <row r="251" spans="1:6" ht="16" hidden="1" customHeight="1" x14ac:dyDescent="0.2">
      <c r="A251" s="34"/>
      <c r="B251" s="58"/>
      <c r="C251" s="35"/>
      <c r="D251" s="36"/>
      <c r="E251" s="36"/>
      <c r="F251" s="36"/>
    </row>
    <row r="252" spans="1:6" ht="16" hidden="1" customHeight="1" x14ac:dyDescent="0.2">
      <c r="A252" s="34"/>
      <c r="B252" s="58"/>
      <c r="C252" s="35"/>
      <c r="D252" s="36"/>
      <c r="E252" s="36"/>
      <c r="F252" s="36"/>
    </row>
    <row r="253" spans="1:6" ht="16" hidden="1" customHeight="1" x14ac:dyDescent="0.2">
      <c r="A253" s="34"/>
      <c r="B253" s="58"/>
      <c r="C253" s="35"/>
      <c r="D253" s="36"/>
      <c r="E253" s="36"/>
      <c r="F253" s="36"/>
    </row>
    <row r="254" spans="1:6" ht="16" hidden="1" customHeight="1" x14ac:dyDescent="0.2">
      <c r="A254" s="34"/>
      <c r="B254" s="58"/>
      <c r="C254" s="35"/>
      <c r="D254" s="36"/>
      <c r="E254" s="36"/>
      <c r="F254" s="36"/>
    </row>
    <row r="255" spans="1:6" ht="16" hidden="1" customHeight="1" x14ac:dyDescent="0.2">
      <c r="A255" s="34"/>
      <c r="B255" s="58"/>
      <c r="C255" s="35"/>
      <c r="D255" s="36"/>
      <c r="E255" s="36"/>
      <c r="F255" s="36"/>
    </row>
    <row r="256" spans="1:6" ht="16" hidden="1" customHeight="1" x14ac:dyDescent="0.2">
      <c r="A256" s="34"/>
      <c r="B256" s="58"/>
      <c r="C256" s="35"/>
      <c r="D256" s="36"/>
      <c r="E256" s="36"/>
      <c r="F256" s="36"/>
    </row>
    <row r="257" spans="1:6" ht="16" hidden="1" customHeight="1" x14ac:dyDescent="0.2">
      <c r="A257" s="34"/>
      <c r="B257" s="58"/>
      <c r="C257" s="35"/>
      <c r="D257" s="36"/>
      <c r="E257" s="36"/>
      <c r="F257" s="36"/>
    </row>
    <row r="258" spans="1:6" ht="16" hidden="1" customHeight="1" x14ac:dyDescent="0.2">
      <c r="A258" s="34"/>
      <c r="B258" s="58"/>
      <c r="C258" s="35"/>
      <c r="D258" s="36"/>
      <c r="E258" s="36"/>
      <c r="F258" s="36"/>
    </row>
    <row r="259" spans="1:6" ht="16" hidden="1" customHeight="1" x14ac:dyDescent="0.2">
      <c r="A259" s="34"/>
      <c r="B259" s="58"/>
      <c r="C259" s="35"/>
      <c r="D259" s="36"/>
      <c r="E259" s="36"/>
      <c r="F259" s="36"/>
    </row>
    <row r="260" spans="1:6" ht="16" hidden="1" customHeight="1" x14ac:dyDescent="0.2">
      <c r="A260" s="34"/>
      <c r="B260" s="58"/>
      <c r="C260" s="35"/>
      <c r="D260" s="36"/>
      <c r="E260" s="36"/>
      <c r="F260" s="36"/>
    </row>
    <row r="261" spans="1:6" ht="16" hidden="1" customHeight="1" x14ac:dyDescent="0.2">
      <c r="A261" s="34"/>
      <c r="B261" s="58"/>
      <c r="C261" s="35"/>
      <c r="D261" s="36"/>
      <c r="E261" s="36"/>
      <c r="F261" s="36"/>
    </row>
    <row r="262" spans="1:6" ht="16" hidden="1" customHeight="1" x14ac:dyDescent="0.2">
      <c r="A262" s="34"/>
      <c r="B262" s="58"/>
      <c r="C262" s="35"/>
      <c r="D262" s="36"/>
      <c r="E262" s="36"/>
      <c r="F262" s="36"/>
    </row>
    <row r="263" spans="1:6" ht="16" hidden="1" customHeight="1" x14ac:dyDescent="0.2">
      <c r="A263" s="34"/>
      <c r="B263" s="58"/>
      <c r="C263" s="35"/>
      <c r="D263" s="36"/>
      <c r="E263" s="36"/>
      <c r="F263" s="36"/>
    </row>
    <row r="264" spans="1:6" ht="16" hidden="1" customHeight="1" x14ac:dyDescent="0.2">
      <c r="A264" s="34"/>
      <c r="B264" s="58"/>
      <c r="C264" s="35"/>
      <c r="D264" s="36"/>
      <c r="E264" s="36"/>
      <c r="F264" s="36"/>
    </row>
    <row r="265" spans="1:6" ht="16" hidden="1" customHeight="1" x14ac:dyDescent="0.2">
      <c r="A265" s="34"/>
      <c r="B265" s="58"/>
      <c r="C265" s="35"/>
      <c r="D265" s="36"/>
      <c r="E265" s="36"/>
      <c r="F265" s="36"/>
    </row>
    <row r="266" spans="1:6" ht="16" hidden="1" customHeight="1" x14ac:dyDescent="0.2">
      <c r="A266" s="34"/>
      <c r="B266" s="58"/>
      <c r="C266" s="35"/>
      <c r="D266" s="36"/>
      <c r="E266" s="36"/>
      <c r="F266" s="36"/>
    </row>
    <row r="267" spans="1:6" ht="16" hidden="1" customHeight="1" x14ac:dyDescent="0.2">
      <c r="A267" s="34"/>
      <c r="B267" s="58"/>
      <c r="C267" s="35"/>
      <c r="D267" s="36"/>
      <c r="E267" s="36"/>
      <c r="F267" s="36"/>
    </row>
    <row r="268" spans="1:6" ht="16" hidden="1" customHeight="1" x14ac:dyDescent="0.2">
      <c r="A268" s="34"/>
      <c r="B268" s="58"/>
      <c r="C268" s="35"/>
      <c r="D268" s="36"/>
      <c r="E268" s="36"/>
      <c r="F268" s="36"/>
    </row>
    <row r="269" spans="1:6" ht="16" hidden="1" customHeight="1" x14ac:dyDescent="0.2">
      <c r="A269" s="34"/>
      <c r="B269" s="58"/>
      <c r="C269" s="35"/>
      <c r="D269" s="36"/>
      <c r="E269" s="36"/>
      <c r="F269" s="36"/>
    </row>
    <row r="270" spans="1:6" ht="16" hidden="1" customHeight="1" x14ac:dyDescent="0.2">
      <c r="A270" s="34"/>
      <c r="B270" s="58"/>
      <c r="C270" s="35"/>
      <c r="D270" s="36"/>
      <c r="E270" s="36"/>
      <c r="F270" s="36"/>
    </row>
    <row r="271" spans="1:6" ht="16" hidden="1" customHeight="1" x14ac:dyDescent="0.2">
      <c r="A271" s="34"/>
      <c r="B271" s="58"/>
      <c r="C271" s="35"/>
      <c r="D271" s="36"/>
      <c r="E271" s="36"/>
      <c r="F271" s="36"/>
    </row>
    <row r="272" spans="1:6" ht="16" hidden="1" customHeight="1" x14ac:dyDescent="0.2">
      <c r="A272" s="34"/>
      <c r="B272" s="58"/>
      <c r="C272" s="35"/>
      <c r="D272" s="36"/>
      <c r="E272" s="36"/>
      <c r="F272" s="36"/>
    </row>
    <row r="273" spans="1:6" ht="16" hidden="1" customHeight="1" x14ac:dyDescent="0.2">
      <c r="A273" s="34"/>
      <c r="B273" s="58"/>
      <c r="C273" s="35"/>
      <c r="D273" s="36"/>
      <c r="E273" s="36"/>
      <c r="F273" s="36"/>
    </row>
    <row r="274" spans="1:6" ht="16" hidden="1" customHeight="1" x14ac:dyDescent="0.2">
      <c r="A274" s="34"/>
      <c r="B274" s="58"/>
      <c r="C274" s="35"/>
      <c r="D274" s="36"/>
      <c r="E274" s="36"/>
      <c r="F274" s="36"/>
    </row>
    <row r="275" spans="1:6" ht="16" hidden="1" customHeight="1" x14ac:dyDescent="0.2">
      <c r="A275" s="34"/>
      <c r="B275" s="58"/>
      <c r="C275" s="35"/>
      <c r="D275" s="36"/>
      <c r="E275" s="36"/>
      <c r="F275" s="36"/>
    </row>
    <row r="276" spans="1:6" ht="16" hidden="1" customHeight="1" x14ac:dyDescent="0.2">
      <c r="A276" s="34"/>
      <c r="B276" s="58"/>
      <c r="C276" s="35"/>
      <c r="D276" s="36"/>
      <c r="E276" s="36"/>
      <c r="F276" s="36"/>
    </row>
    <row r="277" spans="1:6" ht="16" hidden="1" customHeight="1" x14ac:dyDescent="0.2">
      <c r="A277" s="34"/>
      <c r="B277" s="58"/>
      <c r="C277" s="35"/>
      <c r="D277" s="36"/>
      <c r="E277" s="36"/>
      <c r="F277" s="36"/>
    </row>
    <row r="278" spans="1:6" ht="16" hidden="1" customHeight="1" x14ac:dyDescent="0.2">
      <c r="A278" s="34"/>
      <c r="B278" s="58"/>
      <c r="C278" s="35"/>
      <c r="D278" s="36"/>
      <c r="E278" s="36"/>
      <c r="F278" s="36"/>
    </row>
    <row r="279" spans="1:6" ht="16" hidden="1" customHeight="1" x14ac:dyDescent="0.2">
      <c r="A279" s="34"/>
      <c r="B279" s="58"/>
      <c r="C279" s="35"/>
      <c r="D279" s="36"/>
      <c r="E279" s="36"/>
      <c r="F279" s="36"/>
    </row>
    <row r="280" spans="1:6" ht="16" hidden="1" customHeight="1" x14ac:dyDescent="0.2">
      <c r="A280" s="34"/>
      <c r="B280" s="58"/>
      <c r="C280" s="35"/>
      <c r="D280" s="36"/>
      <c r="E280" s="36"/>
      <c r="F280" s="36"/>
    </row>
    <row r="281" spans="1:6" ht="16" hidden="1" customHeight="1" x14ac:dyDescent="0.2">
      <c r="A281" s="34"/>
      <c r="B281" s="58"/>
      <c r="C281" s="35"/>
      <c r="D281" s="36"/>
      <c r="E281" s="36"/>
      <c r="F281" s="36"/>
    </row>
    <row r="282" spans="1:6" ht="16" hidden="1" customHeight="1" x14ac:dyDescent="0.2">
      <c r="A282" s="34"/>
      <c r="B282" s="58"/>
      <c r="C282" s="35"/>
      <c r="D282" s="36"/>
      <c r="E282" s="36"/>
      <c r="F282" s="36"/>
    </row>
    <row r="283" spans="1:6" ht="16" hidden="1" customHeight="1" x14ac:dyDescent="0.2">
      <c r="A283" s="34"/>
      <c r="B283" s="58"/>
      <c r="C283" s="35"/>
      <c r="D283" s="36"/>
      <c r="E283" s="36"/>
      <c r="F283" s="36"/>
    </row>
    <row r="284" spans="1:6" ht="16" hidden="1" customHeight="1" x14ac:dyDescent="0.2">
      <c r="A284" s="34"/>
      <c r="B284" s="58"/>
      <c r="C284" s="35"/>
      <c r="D284" s="36"/>
      <c r="E284" s="36"/>
      <c r="F284" s="36"/>
    </row>
    <row r="285" spans="1:6" ht="16" hidden="1" customHeight="1" x14ac:dyDescent="0.2">
      <c r="A285" s="34"/>
      <c r="B285" s="58"/>
      <c r="C285" s="35"/>
      <c r="D285" s="36"/>
      <c r="E285" s="36"/>
      <c r="F285" s="36"/>
    </row>
    <row r="286" spans="1:6" ht="16" hidden="1" customHeight="1" x14ac:dyDescent="0.2">
      <c r="A286" s="34"/>
      <c r="B286" s="58"/>
      <c r="C286" s="35"/>
      <c r="D286" s="36"/>
      <c r="E286" s="36"/>
      <c r="F286" s="36"/>
    </row>
    <row r="287" spans="1:6" ht="16" hidden="1" customHeight="1" x14ac:dyDescent="0.2">
      <c r="A287" s="34"/>
      <c r="B287" s="58"/>
      <c r="C287" s="35"/>
      <c r="D287" s="36"/>
      <c r="E287" s="36"/>
      <c r="F287" s="36"/>
    </row>
    <row r="288" spans="1:6" ht="16" hidden="1" customHeight="1" x14ac:dyDescent="0.2">
      <c r="A288" s="34"/>
      <c r="B288" s="58"/>
      <c r="C288" s="35"/>
      <c r="D288" s="36"/>
      <c r="E288" s="36"/>
      <c r="F288" s="36"/>
    </row>
    <row r="289" spans="1:6" ht="16" hidden="1" customHeight="1" x14ac:dyDescent="0.2">
      <c r="A289" s="34"/>
      <c r="B289" s="58"/>
      <c r="C289" s="35"/>
      <c r="D289" s="36"/>
      <c r="E289" s="36"/>
      <c r="F289" s="36"/>
    </row>
    <row r="290" spans="1:6" ht="16" hidden="1" customHeight="1" x14ac:dyDescent="0.2">
      <c r="A290" s="34"/>
      <c r="B290" s="58"/>
      <c r="C290" s="35"/>
      <c r="D290" s="36"/>
      <c r="E290" s="36"/>
      <c r="F290" s="36"/>
    </row>
    <row r="291" spans="1:6" ht="16" hidden="1" customHeight="1" x14ac:dyDescent="0.2">
      <c r="A291" s="34"/>
      <c r="B291" s="58"/>
      <c r="C291" s="35"/>
      <c r="D291" s="36"/>
      <c r="E291" s="36"/>
      <c r="F291" s="36"/>
    </row>
    <row r="292" spans="1:6" ht="16" hidden="1" customHeight="1" x14ac:dyDescent="0.2">
      <c r="A292" s="34"/>
      <c r="B292" s="58"/>
      <c r="C292" s="35"/>
      <c r="D292" s="36"/>
      <c r="E292" s="36"/>
      <c r="F292" s="36"/>
    </row>
    <row r="293" spans="1:6" ht="16" hidden="1" customHeight="1" x14ac:dyDescent="0.2">
      <c r="A293" s="34"/>
      <c r="B293" s="58"/>
      <c r="C293" s="35"/>
      <c r="D293" s="36"/>
      <c r="E293" s="36"/>
      <c r="F293" s="36"/>
    </row>
    <row r="294" spans="1:6" ht="16" hidden="1" customHeight="1" x14ac:dyDescent="0.2">
      <c r="A294" s="34"/>
      <c r="B294" s="58"/>
      <c r="C294" s="35"/>
      <c r="D294" s="36"/>
      <c r="E294" s="36"/>
      <c r="F294" s="36"/>
    </row>
    <row r="295" spans="1:6" ht="16" hidden="1" customHeight="1" x14ac:dyDescent="0.2">
      <c r="A295" s="34"/>
      <c r="B295" s="58"/>
      <c r="C295" s="35"/>
      <c r="D295" s="36"/>
      <c r="E295" s="36"/>
      <c r="F295" s="36"/>
    </row>
    <row r="296" spans="1:6" ht="16" hidden="1" customHeight="1" x14ac:dyDescent="0.2">
      <c r="A296" s="34"/>
      <c r="B296" s="58"/>
      <c r="C296" s="35"/>
      <c r="D296" s="36"/>
      <c r="E296" s="36"/>
      <c r="F296" s="36"/>
    </row>
    <row r="297" spans="1:6" ht="16" hidden="1" customHeight="1" x14ac:dyDescent="0.2">
      <c r="A297" s="34"/>
      <c r="B297" s="58"/>
      <c r="C297" s="35"/>
      <c r="D297" s="36"/>
      <c r="E297" s="36"/>
      <c r="F297" s="36"/>
    </row>
    <row r="298" spans="1:6" ht="16" hidden="1" customHeight="1" x14ac:dyDescent="0.2">
      <c r="A298" s="34"/>
      <c r="B298" s="58"/>
      <c r="C298" s="35"/>
      <c r="D298" s="36"/>
      <c r="E298" s="36"/>
      <c r="F298" s="36"/>
    </row>
    <row r="299" spans="1:6" ht="16" hidden="1" customHeight="1" x14ac:dyDescent="0.2">
      <c r="A299" s="34"/>
      <c r="B299" s="58"/>
      <c r="C299" s="35"/>
      <c r="D299" s="36"/>
      <c r="E299" s="36"/>
      <c r="F299" s="36"/>
    </row>
    <row r="300" spans="1:6" ht="16" hidden="1" customHeight="1" x14ac:dyDescent="0.2">
      <c r="A300" s="34"/>
      <c r="B300" s="58"/>
      <c r="C300" s="35"/>
      <c r="D300" s="36"/>
      <c r="E300" s="36"/>
      <c r="F300" s="36"/>
    </row>
    <row r="301" spans="1:6" ht="16" hidden="1" customHeight="1" x14ac:dyDescent="0.2">
      <c r="A301" s="34"/>
      <c r="B301" s="58"/>
      <c r="C301" s="35"/>
      <c r="D301" s="36"/>
      <c r="E301" s="36"/>
      <c r="F301" s="36"/>
    </row>
    <row r="302" spans="1:6" ht="16" hidden="1" customHeight="1" x14ac:dyDescent="0.2">
      <c r="A302" s="34"/>
      <c r="B302" s="58"/>
      <c r="C302" s="35"/>
      <c r="D302" s="36"/>
      <c r="E302" s="36"/>
      <c r="F302" s="36"/>
    </row>
    <row r="303" spans="1:6" ht="16" hidden="1" customHeight="1" x14ac:dyDescent="0.2">
      <c r="A303" s="34"/>
      <c r="B303" s="58"/>
      <c r="C303" s="35"/>
      <c r="D303" s="36"/>
      <c r="E303" s="36"/>
      <c r="F303" s="36"/>
    </row>
    <row r="304" spans="1:6" ht="16" hidden="1" customHeight="1" x14ac:dyDescent="0.2">
      <c r="A304" s="34"/>
      <c r="B304" s="58"/>
      <c r="C304" s="35"/>
      <c r="D304" s="36"/>
      <c r="E304" s="36"/>
      <c r="F304" s="36"/>
    </row>
    <row r="305" spans="1:6" ht="16" hidden="1" customHeight="1" x14ac:dyDescent="0.2">
      <c r="A305" s="34"/>
      <c r="B305" s="58"/>
      <c r="C305" s="35"/>
      <c r="D305" s="36"/>
      <c r="E305" s="36"/>
      <c r="F305" s="36"/>
    </row>
    <row r="306" spans="1:6" ht="16" hidden="1" customHeight="1" x14ac:dyDescent="0.2">
      <c r="A306" s="34"/>
      <c r="B306" s="58"/>
      <c r="C306" s="35"/>
      <c r="D306" s="36"/>
      <c r="E306" s="36"/>
      <c r="F306" s="36"/>
    </row>
    <row r="307" spans="1:6" ht="16" hidden="1" customHeight="1" x14ac:dyDescent="0.2">
      <c r="A307" s="34"/>
      <c r="B307" s="58"/>
      <c r="C307" s="35"/>
      <c r="D307" s="36"/>
      <c r="E307" s="36"/>
      <c r="F307" s="36"/>
    </row>
    <row r="308" spans="1:6" ht="16" hidden="1" customHeight="1" x14ac:dyDescent="0.2">
      <c r="A308" s="34"/>
      <c r="B308" s="58"/>
      <c r="C308" s="35"/>
      <c r="D308" s="36"/>
      <c r="E308" s="36"/>
      <c r="F308" s="36"/>
    </row>
    <row r="309" spans="1:6" ht="16" hidden="1" customHeight="1" x14ac:dyDescent="0.2">
      <c r="A309" s="34"/>
      <c r="B309" s="58"/>
      <c r="C309" s="35"/>
      <c r="D309" s="36"/>
      <c r="E309" s="36"/>
      <c r="F309" s="36"/>
    </row>
    <row r="310" spans="1:6" ht="16" hidden="1" customHeight="1" x14ac:dyDescent="0.2">
      <c r="A310" s="34"/>
      <c r="B310" s="58"/>
      <c r="C310" s="35"/>
      <c r="D310" s="36"/>
      <c r="E310" s="36"/>
      <c r="F310" s="36"/>
    </row>
    <row r="311" spans="1:6" ht="16" hidden="1" customHeight="1" x14ac:dyDescent="0.2">
      <c r="A311" s="34"/>
      <c r="B311" s="58"/>
      <c r="C311" s="35"/>
      <c r="D311" s="36"/>
      <c r="E311" s="36"/>
      <c r="F311" s="36"/>
    </row>
    <row r="312" spans="1:6" ht="16" hidden="1" customHeight="1" x14ac:dyDescent="0.2">
      <c r="A312" s="34"/>
      <c r="B312" s="58"/>
      <c r="C312" s="35"/>
      <c r="D312" s="36"/>
      <c r="E312" s="36"/>
      <c r="F312" s="36"/>
    </row>
    <row r="313" spans="1:6" ht="16" hidden="1" customHeight="1" x14ac:dyDescent="0.2">
      <c r="A313" s="34"/>
      <c r="B313" s="58"/>
      <c r="C313" s="35"/>
      <c r="D313" s="36"/>
      <c r="E313" s="36"/>
      <c r="F313" s="36"/>
    </row>
    <row r="314" spans="1:6" ht="16" hidden="1" customHeight="1" x14ac:dyDescent="0.2">
      <c r="A314" s="34"/>
      <c r="B314" s="58"/>
      <c r="C314" s="35"/>
      <c r="D314" s="36"/>
      <c r="E314" s="36"/>
      <c r="F314" s="36"/>
    </row>
    <row r="315" spans="1:6" ht="16" hidden="1" customHeight="1" x14ac:dyDescent="0.2">
      <c r="A315" s="34"/>
      <c r="B315" s="58"/>
      <c r="C315" s="35"/>
      <c r="D315" s="36"/>
      <c r="E315" s="36"/>
      <c r="F315" s="36"/>
    </row>
    <row r="316" spans="1:6" ht="16" hidden="1" customHeight="1" x14ac:dyDescent="0.2">
      <c r="A316" s="34"/>
      <c r="B316" s="58"/>
      <c r="C316" s="35"/>
      <c r="D316" s="36"/>
      <c r="E316" s="36"/>
      <c r="F316" s="36"/>
    </row>
    <row r="317" spans="1:6" ht="16" hidden="1" customHeight="1" x14ac:dyDescent="0.2">
      <c r="A317" s="34"/>
      <c r="B317" s="58"/>
      <c r="C317" s="35"/>
      <c r="D317" s="36"/>
      <c r="E317" s="36"/>
      <c r="F317" s="36"/>
    </row>
    <row r="318" spans="1:6" ht="16" hidden="1" customHeight="1" x14ac:dyDescent="0.2">
      <c r="A318" s="34"/>
      <c r="B318" s="58"/>
      <c r="C318" s="35"/>
      <c r="D318" s="36"/>
      <c r="E318" s="36"/>
      <c r="F318" s="36"/>
    </row>
    <row r="319" spans="1:6" ht="16" hidden="1" customHeight="1" x14ac:dyDescent="0.2">
      <c r="A319" s="34"/>
      <c r="B319" s="58"/>
      <c r="C319" s="35"/>
      <c r="D319" s="36"/>
      <c r="E319" s="36"/>
      <c r="F319" s="36"/>
    </row>
    <row r="320" spans="1:6" ht="16" hidden="1" customHeight="1" x14ac:dyDescent="0.2">
      <c r="A320" s="34"/>
      <c r="B320" s="58"/>
      <c r="C320" s="35"/>
      <c r="D320" s="36"/>
      <c r="E320" s="36"/>
      <c r="F320" s="36"/>
    </row>
    <row r="321" spans="1:6" ht="16" hidden="1" customHeight="1" x14ac:dyDescent="0.2">
      <c r="A321" s="34"/>
      <c r="B321" s="58"/>
      <c r="C321" s="35"/>
      <c r="D321" s="36"/>
      <c r="E321" s="36"/>
      <c r="F321" s="36"/>
    </row>
    <row r="322" spans="1:6" ht="16" hidden="1" customHeight="1" x14ac:dyDescent="0.2">
      <c r="A322" s="34"/>
      <c r="B322" s="58"/>
      <c r="C322" s="35"/>
      <c r="D322" s="36"/>
      <c r="E322" s="36"/>
      <c r="F322" s="36"/>
    </row>
    <row r="323" spans="1:6" ht="16" hidden="1" customHeight="1" x14ac:dyDescent="0.2">
      <c r="A323" s="34"/>
      <c r="B323" s="58"/>
      <c r="C323" s="35"/>
      <c r="D323" s="36"/>
      <c r="E323" s="36"/>
      <c r="F323" s="36"/>
    </row>
    <row r="324" spans="1:6" ht="16" hidden="1" customHeight="1" x14ac:dyDescent="0.2">
      <c r="A324" s="34"/>
      <c r="B324" s="58"/>
      <c r="C324" s="35"/>
      <c r="D324" s="36"/>
      <c r="E324" s="36"/>
      <c r="F324" s="36"/>
    </row>
    <row r="325" spans="1:6" ht="16" hidden="1" customHeight="1" x14ac:dyDescent="0.2">
      <c r="A325" s="34"/>
      <c r="B325" s="58"/>
      <c r="C325" s="35"/>
      <c r="D325" s="36"/>
      <c r="E325" s="36"/>
      <c r="F325" s="36"/>
    </row>
    <row r="326" spans="1:6" ht="16" hidden="1" customHeight="1" x14ac:dyDescent="0.2">
      <c r="A326" s="34"/>
      <c r="B326" s="58"/>
      <c r="C326" s="35"/>
      <c r="D326" s="36"/>
      <c r="E326" s="36"/>
      <c r="F326" s="36"/>
    </row>
    <row r="327" spans="1:6" ht="16" hidden="1" customHeight="1" x14ac:dyDescent="0.2">
      <c r="A327" s="34"/>
      <c r="B327" s="58"/>
      <c r="C327" s="35"/>
      <c r="D327" s="36"/>
      <c r="E327" s="36"/>
      <c r="F327" s="36"/>
    </row>
    <row r="328" spans="1:6" ht="16" hidden="1" customHeight="1" x14ac:dyDescent="0.2">
      <c r="A328" s="34"/>
      <c r="B328" s="58"/>
      <c r="C328" s="35"/>
      <c r="D328" s="36"/>
      <c r="E328" s="36"/>
      <c r="F328" s="36"/>
    </row>
    <row r="329" spans="1:6" ht="16" hidden="1" customHeight="1" x14ac:dyDescent="0.2">
      <c r="A329" s="34"/>
      <c r="B329" s="58"/>
      <c r="C329" s="35"/>
      <c r="D329" s="36"/>
      <c r="E329" s="36"/>
      <c r="F329" s="36"/>
    </row>
    <row r="330" spans="1:6" ht="16" hidden="1" customHeight="1" x14ac:dyDescent="0.2">
      <c r="A330" s="34"/>
      <c r="B330" s="58"/>
      <c r="C330" s="35"/>
      <c r="D330" s="36"/>
      <c r="E330" s="36"/>
      <c r="F330" s="36"/>
    </row>
    <row r="331" spans="1:6" ht="16" hidden="1" customHeight="1" x14ac:dyDescent="0.2">
      <c r="A331" s="34"/>
      <c r="B331" s="58"/>
      <c r="C331" s="35"/>
      <c r="D331" s="36"/>
      <c r="E331" s="36"/>
      <c r="F331" s="36"/>
    </row>
    <row r="332" spans="1:6" ht="16" hidden="1" customHeight="1" x14ac:dyDescent="0.2">
      <c r="A332" s="34"/>
      <c r="B332" s="58"/>
      <c r="C332" s="35"/>
      <c r="D332" s="36"/>
      <c r="E332" s="36"/>
      <c r="F332" s="36"/>
    </row>
    <row r="333" spans="1:6" ht="16" hidden="1" customHeight="1" x14ac:dyDescent="0.2">
      <c r="A333" s="34"/>
      <c r="B333" s="58"/>
      <c r="C333" s="35"/>
      <c r="D333" s="36"/>
      <c r="E333" s="36"/>
      <c r="F333" s="36"/>
    </row>
    <row r="334" spans="1:6" ht="16" hidden="1" customHeight="1" x14ac:dyDescent="0.2">
      <c r="A334" s="34"/>
      <c r="B334" s="58"/>
      <c r="C334" s="35"/>
      <c r="D334" s="36"/>
      <c r="E334" s="36"/>
      <c r="F334" s="36"/>
    </row>
    <row r="335" spans="1:6" ht="16" hidden="1" customHeight="1" x14ac:dyDescent="0.2">
      <c r="A335" s="34"/>
      <c r="B335" s="58"/>
      <c r="C335" s="35"/>
      <c r="D335" s="36"/>
      <c r="E335" s="36"/>
      <c r="F335" s="36"/>
    </row>
    <row r="336" spans="1:6" ht="16" hidden="1" customHeight="1" x14ac:dyDescent="0.2">
      <c r="A336" s="34"/>
      <c r="B336" s="58"/>
      <c r="C336" s="35"/>
      <c r="D336" s="36"/>
      <c r="E336" s="36"/>
      <c r="F336" s="36"/>
    </row>
    <row r="337" spans="1:6" ht="16" hidden="1" customHeight="1" x14ac:dyDescent="0.2">
      <c r="A337" s="34"/>
      <c r="B337" s="58"/>
      <c r="C337" s="35"/>
      <c r="D337" s="36"/>
      <c r="E337" s="36"/>
      <c r="F337" s="36"/>
    </row>
    <row r="338" spans="1:6" ht="16" hidden="1" customHeight="1" x14ac:dyDescent="0.2">
      <c r="A338" s="34"/>
      <c r="B338" s="58"/>
      <c r="C338" s="35"/>
      <c r="D338" s="36"/>
      <c r="E338" s="36"/>
      <c r="F338" s="36"/>
    </row>
    <row r="339" spans="1:6" ht="16" hidden="1" customHeight="1" x14ac:dyDescent="0.2">
      <c r="A339" s="34"/>
      <c r="B339" s="58"/>
      <c r="C339" s="35"/>
      <c r="D339" s="36"/>
      <c r="E339" s="36"/>
      <c r="F339" s="36"/>
    </row>
    <row r="340" spans="1:6" ht="16" hidden="1" customHeight="1" x14ac:dyDescent="0.2">
      <c r="A340" s="34"/>
      <c r="B340" s="58"/>
      <c r="C340" s="35"/>
      <c r="D340" s="36"/>
      <c r="E340" s="36"/>
      <c r="F340" s="36"/>
    </row>
    <row r="341" spans="1:6" ht="16" hidden="1" customHeight="1" x14ac:dyDescent="0.2">
      <c r="A341" s="34"/>
      <c r="B341" s="58"/>
      <c r="C341" s="35"/>
      <c r="D341" s="36"/>
      <c r="E341" s="36"/>
      <c r="F341" s="36"/>
    </row>
    <row r="342" spans="1:6" ht="16" hidden="1" customHeight="1" x14ac:dyDescent="0.2">
      <c r="A342" s="34"/>
      <c r="B342" s="58"/>
      <c r="C342" s="35"/>
      <c r="D342" s="36"/>
      <c r="E342" s="36"/>
      <c r="F342" s="36"/>
    </row>
    <row r="343" spans="1:6" ht="16" hidden="1" customHeight="1" x14ac:dyDescent="0.2">
      <c r="A343" s="34"/>
      <c r="B343" s="58"/>
      <c r="C343" s="35"/>
      <c r="D343" s="36"/>
      <c r="E343" s="36"/>
      <c r="F343" s="36"/>
    </row>
    <row r="344" spans="1:6" ht="16" hidden="1" customHeight="1" x14ac:dyDescent="0.2">
      <c r="A344" s="34"/>
      <c r="B344" s="58"/>
      <c r="C344" s="35"/>
      <c r="D344" s="36"/>
      <c r="E344" s="36"/>
      <c r="F344" s="36"/>
    </row>
    <row r="345" spans="1:6" ht="16" hidden="1" customHeight="1" x14ac:dyDescent="0.2">
      <c r="A345" s="34"/>
      <c r="B345" s="58"/>
      <c r="C345" s="35"/>
      <c r="D345" s="36"/>
      <c r="E345" s="36"/>
      <c r="F345" s="36"/>
    </row>
    <row r="346" spans="1:6" ht="16" hidden="1" customHeight="1" x14ac:dyDescent="0.2">
      <c r="A346" s="34"/>
      <c r="B346" s="58"/>
      <c r="C346" s="35"/>
      <c r="D346" s="36"/>
      <c r="E346" s="36"/>
      <c r="F346" s="36"/>
    </row>
    <row r="347" spans="1:6" ht="16" hidden="1" customHeight="1" x14ac:dyDescent="0.2">
      <c r="A347" s="34"/>
      <c r="B347" s="58"/>
      <c r="C347" s="35"/>
      <c r="D347" s="36"/>
      <c r="E347" s="36"/>
      <c r="F347" s="36"/>
    </row>
    <row r="348" spans="1:6" ht="16" hidden="1" customHeight="1" x14ac:dyDescent="0.2">
      <c r="A348" s="34"/>
      <c r="B348" s="58"/>
      <c r="C348" s="35"/>
      <c r="D348" s="36"/>
      <c r="E348" s="36"/>
      <c r="F348" s="36"/>
    </row>
    <row r="349" spans="1:6" ht="16" hidden="1" customHeight="1" x14ac:dyDescent="0.2">
      <c r="A349" s="34"/>
      <c r="B349" s="58"/>
      <c r="C349" s="35"/>
      <c r="D349" s="36"/>
      <c r="E349" s="36"/>
      <c r="F349" s="36"/>
    </row>
    <row r="350" spans="1:6" ht="16" hidden="1" customHeight="1" x14ac:dyDescent="0.2">
      <c r="A350" s="34"/>
      <c r="B350" s="58"/>
      <c r="C350" s="35"/>
      <c r="D350" s="36"/>
      <c r="E350" s="36"/>
      <c r="F350" s="36"/>
    </row>
    <row r="351" spans="1:6" ht="16" hidden="1" customHeight="1" x14ac:dyDescent="0.2">
      <c r="A351" s="34"/>
      <c r="B351" s="58"/>
      <c r="C351" s="35"/>
      <c r="D351" s="36"/>
      <c r="E351" s="36"/>
      <c r="F351" s="36"/>
    </row>
    <row r="352" spans="1:6" ht="16" hidden="1" customHeight="1" x14ac:dyDescent="0.2">
      <c r="A352" s="34"/>
      <c r="B352" s="58"/>
      <c r="C352" s="35"/>
      <c r="D352" s="36"/>
      <c r="E352" s="36"/>
      <c r="F352" s="36"/>
    </row>
    <row r="353" spans="1:6" ht="16" hidden="1" customHeight="1" x14ac:dyDescent="0.2">
      <c r="A353" s="34"/>
      <c r="B353" s="58"/>
      <c r="C353" s="35"/>
      <c r="D353" s="36"/>
      <c r="E353" s="36"/>
      <c r="F353" s="36"/>
    </row>
    <row r="354" spans="1:6" ht="16" hidden="1" customHeight="1" x14ac:dyDescent="0.2">
      <c r="A354" s="34"/>
      <c r="B354" s="58"/>
      <c r="C354" s="35"/>
      <c r="D354" s="36"/>
      <c r="E354" s="36"/>
      <c r="F354" s="36"/>
    </row>
    <row r="355" spans="1:6" ht="16" hidden="1" customHeight="1" x14ac:dyDescent="0.2">
      <c r="A355" s="34"/>
      <c r="B355" s="58"/>
      <c r="C355" s="35"/>
      <c r="D355" s="36"/>
      <c r="E355" s="36"/>
      <c r="F355" s="36"/>
    </row>
    <row r="356" spans="1:6" ht="16" hidden="1" customHeight="1" x14ac:dyDescent="0.2">
      <c r="A356" s="34"/>
      <c r="B356" s="58"/>
      <c r="C356" s="35"/>
      <c r="D356" s="36"/>
      <c r="E356" s="36"/>
      <c r="F356" s="36"/>
    </row>
    <row r="357" spans="1:6" ht="16" hidden="1" customHeight="1" x14ac:dyDescent="0.2">
      <c r="A357" s="34"/>
      <c r="B357" s="58"/>
      <c r="C357" s="35"/>
      <c r="D357" s="36"/>
      <c r="E357" s="36"/>
      <c r="F357" s="36"/>
    </row>
    <row r="358" spans="1:6" ht="16" hidden="1" customHeight="1" x14ac:dyDescent="0.2">
      <c r="A358" s="34"/>
      <c r="B358" s="58"/>
      <c r="C358" s="35"/>
      <c r="D358" s="36"/>
      <c r="E358" s="36"/>
      <c r="F358" s="36"/>
    </row>
    <row r="359" spans="1:6" ht="16" hidden="1" customHeight="1" x14ac:dyDescent="0.2">
      <c r="A359" s="34"/>
      <c r="B359" s="58"/>
      <c r="C359" s="35"/>
      <c r="D359" s="36"/>
      <c r="E359" s="36"/>
      <c r="F359" s="36"/>
    </row>
    <row r="360" spans="1:6" ht="16" hidden="1" customHeight="1" x14ac:dyDescent="0.2">
      <c r="A360" s="34"/>
      <c r="B360" s="58"/>
      <c r="C360" s="35"/>
      <c r="D360" s="36"/>
      <c r="E360" s="36"/>
      <c r="F360" s="36"/>
    </row>
    <row r="361" spans="1:6" ht="16" hidden="1" customHeight="1" x14ac:dyDescent="0.2">
      <c r="A361" s="34"/>
      <c r="B361" s="58"/>
      <c r="C361" s="35"/>
      <c r="D361" s="36"/>
      <c r="E361" s="36"/>
      <c r="F361" s="36"/>
    </row>
    <row r="362" spans="1:6" ht="16" hidden="1" customHeight="1" x14ac:dyDescent="0.2">
      <c r="A362" s="34"/>
      <c r="B362" s="58"/>
      <c r="C362" s="35"/>
      <c r="D362" s="36"/>
      <c r="E362" s="36"/>
      <c r="F362" s="36"/>
    </row>
    <row r="363" spans="1:6" ht="16" hidden="1" customHeight="1" x14ac:dyDescent="0.2">
      <c r="A363" s="34"/>
      <c r="B363" s="58"/>
      <c r="C363" s="35"/>
      <c r="D363" s="36"/>
      <c r="E363" s="36"/>
      <c r="F363" s="36"/>
    </row>
    <row r="364" spans="1:6" ht="16" hidden="1" customHeight="1" x14ac:dyDescent="0.2">
      <c r="A364" s="34"/>
      <c r="B364" s="58"/>
      <c r="C364" s="35"/>
      <c r="D364" s="36"/>
      <c r="E364" s="36"/>
      <c r="F364" s="36"/>
    </row>
    <row r="365" spans="1:6" ht="16" hidden="1" customHeight="1" x14ac:dyDescent="0.2">
      <c r="A365" s="34"/>
      <c r="B365" s="58"/>
      <c r="C365" s="35"/>
      <c r="D365" s="36"/>
      <c r="E365" s="36"/>
      <c r="F365" s="36"/>
    </row>
    <row r="366" spans="1:6" ht="16" hidden="1" customHeight="1" x14ac:dyDescent="0.2">
      <c r="A366" s="34"/>
      <c r="B366" s="58"/>
      <c r="C366" s="35"/>
      <c r="D366" s="36"/>
      <c r="E366" s="36"/>
      <c r="F366" s="36"/>
    </row>
    <row r="367" spans="1:6" ht="16" hidden="1" customHeight="1" x14ac:dyDescent="0.2">
      <c r="A367" s="34"/>
      <c r="B367" s="58"/>
      <c r="C367" s="35"/>
      <c r="D367" s="36"/>
      <c r="E367" s="36"/>
      <c r="F367" s="36"/>
    </row>
    <row r="368" spans="1:6" ht="16" hidden="1" customHeight="1" x14ac:dyDescent="0.2">
      <c r="A368" s="34"/>
      <c r="B368" s="58"/>
      <c r="C368" s="35"/>
      <c r="D368" s="36"/>
      <c r="E368" s="36"/>
      <c r="F368" s="36"/>
    </row>
    <row r="369" spans="1:6" ht="16" hidden="1" customHeight="1" x14ac:dyDescent="0.2">
      <c r="A369" s="34"/>
      <c r="B369" s="58"/>
      <c r="C369" s="35"/>
      <c r="D369" s="36"/>
      <c r="E369" s="36"/>
      <c r="F369" s="36"/>
    </row>
    <row r="370" spans="1:6" ht="16" hidden="1" customHeight="1" x14ac:dyDescent="0.2">
      <c r="A370" s="34"/>
      <c r="B370" s="58"/>
      <c r="C370" s="35"/>
      <c r="D370" s="36"/>
      <c r="E370" s="36"/>
      <c r="F370" s="36"/>
    </row>
    <row r="371" spans="1:6" ht="16" hidden="1" customHeight="1" x14ac:dyDescent="0.2">
      <c r="A371" s="34"/>
      <c r="B371" s="58"/>
      <c r="C371" s="35"/>
      <c r="D371" s="36"/>
      <c r="E371" s="36"/>
      <c r="F371" s="36"/>
    </row>
    <row r="372" spans="1:6" ht="16" hidden="1" customHeight="1" x14ac:dyDescent="0.2">
      <c r="A372" s="34"/>
      <c r="B372" s="58"/>
      <c r="C372" s="35"/>
      <c r="D372" s="36"/>
      <c r="E372" s="36"/>
      <c r="F372" s="36"/>
    </row>
    <row r="373" spans="1:6" ht="16" hidden="1" customHeight="1" x14ac:dyDescent="0.2">
      <c r="A373" s="34"/>
      <c r="B373" s="58"/>
      <c r="C373" s="35"/>
      <c r="D373" s="36"/>
      <c r="E373" s="36"/>
      <c r="F373" s="36"/>
    </row>
    <row r="374" spans="1:6" ht="16" hidden="1" customHeight="1" x14ac:dyDescent="0.2">
      <c r="A374" s="34"/>
      <c r="B374" s="58"/>
      <c r="C374" s="35"/>
      <c r="D374" s="36"/>
      <c r="E374" s="36"/>
      <c r="F374" s="36"/>
    </row>
    <row r="375" spans="1:6" ht="16" hidden="1" customHeight="1" x14ac:dyDescent="0.2">
      <c r="A375" s="34"/>
      <c r="B375" s="58"/>
      <c r="C375" s="35"/>
      <c r="D375" s="36"/>
      <c r="E375" s="36"/>
      <c r="F375" s="36"/>
    </row>
    <row r="376" spans="1:6" ht="16" hidden="1" customHeight="1" x14ac:dyDescent="0.2">
      <c r="A376" s="34"/>
      <c r="B376" s="58"/>
      <c r="C376" s="35"/>
      <c r="D376" s="36"/>
      <c r="E376" s="36"/>
      <c r="F376" s="36"/>
    </row>
    <row r="377" spans="1:6" ht="16" hidden="1" customHeight="1" x14ac:dyDescent="0.2">
      <c r="A377" s="34"/>
      <c r="B377" s="58"/>
      <c r="C377" s="35"/>
      <c r="D377" s="36"/>
      <c r="E377" s="36"/>
      <c r="F377" s="36"/>
    </row>
    <row r="378" spans="1:6" ht="16" hidden="1" customHeight="1" x14ac:dyDescent="0.2">
      <c r="A378" s="34"/>
      <c r="B378" s="58"/>
      <c r="C378" s="35"/>
      <c r="D378" s="36"/>
      <c r="E378" s="36"/>
      <c r="F378" s="36"/>
    </row>
    <row r="379" spans="1:6" ht="16" hidden="1" customHeight="1" x14ac:dyDescent="0.2">
      <c r="A379" s="34"/>
      <c r="B379" s="58"/>
      <c r="C379" s="35"/>
      <c r="D379" s="36"/>
      <c r="E379" s="36"/>
      <c r="F379" s="36"/>
    </row>
    <row r="380" spans="1:6" ht="16" hidden="1" customHeight="1" x14ac:dyDescent="0.2">
      <c r="A380" s="34"/>
      <c r="B380" s="58"/>
      <c r="C380" s="35"/>
      <c r="D380" s="36"/>
      <c r="E380" s="36"/>
      <c r="F380" s="36"/>
    </row>
    <row r="381" spans="1:6" ht="16" hidden="1" customHeight="1" x14ac:dyDescent="0.2">
      <c r="A381" s="34"/>
      <c r="B381" s="58"/>
      <c r="C381" s="35"/>
      <c r="D381" s="36"/>
      <c r="E381" s="36"/>
      <c r="F381" s="36"/>
    </row>
    <row r="382" spans="1:6" ht="16" hidden="1" customHeight="1" x14ac:dyDescent="0.2">
      <c r="A382" s="34"/>
      <c r="B382" s="58"/>
      <c r="C382" s="35"/>
      <c r="D382" s="36"/>
      <c r="E382" s="36"/>
      <c r="F382" s="36"/>
    </row>
    <row r="383" spans="1:6" ht="16" hidden="1" customHeight="1" x14ac:dyDescent="0.2">
      <c r="A383" s="34"/>
      <c r="B383" s="58"/>
      <c r="C383" s="35"/>
      <c r="D383" s="36"/>
      <c r="E383" s="36"/>
      <c r="F383" s="36"/>
    </row>
    <row r="384" spans="1:6" ht="16" hidden="1" customHeight="1" x14ac:dyDescent="0.2">
      <c r="A384" s="34"/>
      <c r="B384" s="58"/>
      <c r="C384" s="35"/>
      <c r="D384" s="36"/>
      <c r="E384" s="36"/>
      <c r="F384" s="36"/>
    </row>
    <row r="385" spans="1:6" ht="16" hidden="1" customHeight="1" x14ac:dyDescent="0.2">
      <c r="A385" s="34"/>
      <c r="B385" s="58"/>
      <c r="C385" s="35"/>
      <c r="D385" s="36"/>
      <c r="E385" s="36"/>
      <c r="F385" s="36"/>
    </row>
    <row r="386" spans="1:6" ht="16" hidden="1" customHeight="1" x14ac:dyDescent="0.2">
      <c r="A386" s="34"/>
      <c r="B386" s="58"/>
      <c r="C386" s="35"/>
      <c r="D386" s="36"/>
      <c r="E386" s="36"/>
      <c r="F386" s="36"/>
    </row>
    <row r="387" spans="1:6" ht="16" hidden="1" customHeight="1" x14ac:dyDescent="0.2">
      <c r="A387" s="34"/>
      <c r="B387" s="58"/>
      <c r="C387" s="35"/>
      <c r="D387" s="36"/>
      <c r="E387" s="36"/>
      <c r="F387" s="36"/>
    </row>
    <row r="388" spans="1:6" ht="16" hidden="1" customHeight="1" x14ac:dyDescent="0.2">
      <c r="A388" s="34"/>
      <c r="B388" s="58"/>
      <c r="C388" s="35"/>
      <c r="D388" s="36"/>
      <c r="E388" s="36"/>
      <c r="F388" s="36"/>
    </row>
    <row r="389" spans="1:6" ht="16" hidden="1" customHeight="1" x14ac:dyDescent="0.2">
      <c r="A389" s="34"/>
      <c r="B389" s="58"/>
      <c r="C389" s="35"/>
      <c r="D389" s="36"/>
      <c r="E389" s="36"/>
      <c r="F389" s="36"/>
    </row>
    <row r="390" spans="1:6" ht="16" hidden="1" customHeight="1" x14ac:dyDescent="0.2">
      <c r="A390" s="34"/>
      <c r="B390" s="58"/>
      <c r="C390" s="35"/>
      <c r="D390" s="36"/>
      <c r="E390" s="36"/>
      <c r="F390" s="36"/>
    </row>
    <row r="391" spans="1:6" ht="16" hidden="1" customHeight="1" x14ac:dyDescent="0.2">
      <c r="A391" s="34"/>
      <c r="B391" s="58"/>
      <c r="C391" s="35"/>
      <c r="D391" s="36"/>
      <c r="E391" s="36"/>
      <c r="F391" s="36"/>
    </row>
    <row r="392" spans="1:6" ht="16" hidden="1" customHeight="1" x14ac:dyDescent="0.2">
      <c r="A392" s="34"/>
      <c r="B392" s="58"/>
      <c r="C392" s="35"/>
      <c r="D392" s="36"/>
      <c r="E392" s="36"/>
      <c r="F392" s="36"/>
    </row>
    <row r="393" spans="1:6" ht="16" hidden="1" customHeight="1" x14ac:dyDescent="0.2">
      <c r="A393" s="34"/>
      <c r="B393" s="58"/>
      <c r="C393" s="35"/>
      <c r="D393" s="36"/>
      <c r="E393" s="36"/>
      <c r="F393" s="36"/>
    </row>
    <row r="394" spans="1:6" ht="16" hidden="1" customHeight="1" x14ac:dyDescent="0.2">
      <c r="A394" s="34"/>
      <c r="B394" s="58"/>
      <c r="C394" s="35"/>
      <c r="D394" s="36"/>
      <c r="E394" s="36"/>
      <c r="F394" s="36"/>
    </row>
    <row r="395" spans="1:6" ht="16" hidden="1" customHeight="1" x14ac:dyDescent="0.2">
      <c r="A395" s="34"/>
      <c r="B395" s="58"/>
      <c r="C395" s="35"/>
      <c r="D395" s="36"/>
      <c r="E395" s="36"/>
      <c r="F395" s="36"/>
    </row>
    <row r="396" spans="1:6" ht="16" hidden="1" customHeight="1" x14ac:dyDescent="0.2">
      <c r="A396" s="34"/>
      <c r="B396" s="58"/>
      <c r="C396" s="35"/>
      <c r="D396" s="36"/>
      <c r="E396" s="36"/>
      <c r="F396" s="36"/>
    </row>
    <row r="397" spans="1:6" ht="16" hidden="1" customHeight="1" x14ac:dyDescent="0.2">
      <c r="A397" s="34"/>
      <c r="B397" s="58"/>
      <c r="C397" s="35"/>
      <c r="D397" s="36"/>
      <c r="E397" s="36"/>
      <c r="F397" s="36"/>
    </row>
    <row r="398" spans="1:6" ht="16" hidden="1" customHeight="1" x14ac:dyDescent="0.2">
      <c r="A398" s="34"/>
      <c r="B398" s="58"/>
      <c r="C398" s="35"/>
      <c r="D398" s="36"/>
      <c r="E398" s="36"/>
      <c r="F398" s="36"/>
    </row>
    <row r="399" spans="1:6" ht="16" hidden="1" customHeight="1" x14ac:dyDescent="0.2">
      <c r="A399" s="34"/>
      <c r="B399" s="58"/>
      <c r="C399" s="35"/>
      <c r="D399" s="36"/>
      <c r="E399" s="36"/>
      <c r="F399" s="36"/>
    </row>
    <row r="400" spans="1:6" ht="16" hidden="1" customHeight="1" x14ac:dyDescent="0.2">
      <c r="A400" s="34"/>
      <c r="B400" s="58"/>
      <c r="C400" s="35"/>
      <c r="D400" s="36"/>
      <c r="E400" s="36"/>
      <c r="F400" s="36"/>
    </row>
    <row r="401" spans="1:6" ht="16" hidden="1" customHeight="1" x14ac:dyDescent="0.2">
      <c r="A401" s="34"/>
      <c r="B401" s="58"/>
      <c r="C401" s="35"/>
      <c r="D401" s="36"/>
      <c r="E401" s="36"/>
      <c r="F401" s="36"/>
    </row>
    <row r="402" spans="1:6" ht="16" hidden="1" customHeight="1" x14ac:dyDescent="0.2">
      <c r="A402" s="34"/>
      <c r="B402" s="58"/>
      <c r="C402" s="35"/>
      <c r="D402" s="36"/>
      <c r="E402" s="36"/>
      <c r="F402" s="36"/>
    </row>
    <row r="403" spans="1:6" ht="16" hidden="1" customHeight="1" x14ac:dyDescent="0.2">
      <c r="A403" s="34"/>
      <c r="B403" s="58"/>
      <c r="C403" s="35"/>
      <c r="D403" s="36"/>
      <c r="E403" s="36"/>
      <c r="F403" s="36"/>
    </row>
    <row r="404" spans="1:6" ht="16" hidden="1" customHeight="1" x14ac:dyDescent="0.2">
      <c r="A404" s="34"/>
      <c r="B404" s="58"/>
      <c r="C404" s="35"/>
      <c r="D404" s="36"/>
      <c r="E404" s="36"/>
      <c r="F404" s="36"/>
    </row>
    <row r="405" spans="1:6" ht="16" hidden="1" customHeight="1" x14ac:dyDescent="0.2">
      <c r="A405" s="34"/>
      <c r="B405" s="58"/>
      <c r="C405" s="35"/>
      <c r="D405" s="36"/>
      <c r="E405" s="36"/>
      <c r="F405" s="36"/>
    </row>
    <row r="406" spans="1:6" ht="16" hidden="1" customHeight="1" x14ac:dyDescent="0.2">
      <c r="A406" s="34"/>
      <c r="B406" s="58"/>
      <c r="C406" s="35"/>
      <c r="D406" s="36"/>
      <c r="E406" s="36"/>
      <c r="F406" s="36"/>
    </row>
    <row r="407" spans="1:6" ht="16" hidden="1" customHeight="1" x14ac:dyDescent="0.2">
      <c r="A407" s="34"/>
      <c r="B407" s="58"/>
      <c r="C407" s="35"/>
      <c r="D407" s="36"/>
      <c r="E407" s="36"/>
      <c r="F407" s="36"/>
    </row>
    <row r="408" spans="1:6" ht="16" hidden="1" customHeight="1" x14ac:dyDescent="0.2">
      <c r="A408" s="34"/>
      <c r="B408" s="58"/>
      <c r="C408" s="35"/>
      <c r="D408" s="36"/>
      <c r="E408" s="36"/>
      <c r="F408" s="36"/>
    </row>
    <row r="409" spans="1:6" ht="16" hidden="1" customHeight="1" x14ac:dyDescent="0.2">
      <c r="A409" s="34"/>
      <c r="B409" s="58"/>
      <c r="C409" s="35"/>
      <c r="D409" s="36"/>
      <c r="E409" s="36"/>
      <c r="F409" s="36"/>
    </row>
    <row r="410" spans="1:6" ht="16" hidden="1" customHeight="1" x14ac:dyDescent="0.2">
      <c r="A410" s="34"/>
      <c r="B410" s="58"/>
      <c r="C410" s="35"/>
      <c r="D410" s="36"/>
      <c r="E410" s="36"/>
      <c r="F410" s="36"/>
    </row>
    <row r="411" spans="1:6" ht="16" hidden="1" customHeight="1" x14ac:dyDescent="0.2">
      <c r="A411" s="34"/>
      <c r="B411" s="58"/>
      <c r="C411" s="35"/>
      <c r="D411" s="36"/>
      <c r="E411" s="36"/>
      <c r="F411" s="36"/>
    </row>
    <row r="412" spans="1:6" ht="16" hidden="1" customHeight="1" x14ac:dyDescent="0.2">
      <c r="A412" s="34"/>
      <c r="B412" s="58"/>
      <c r="C412" s="35"/>
      <c r="D412" s="36"/>
      <c r="E412" s="36"/>
      <c r="F412" s="36"/>
    </row>
    <row r="413" spans="1:6" ht="16" hidden="1" customHeight="1" x14ac:dyDescent="0.2">
      <c r="A413" s="34"/>
      <c r="B413" s="58"/>
      <c r="C413" s="35"/>
      <c r="D413" s="36"/>
      <c r="E413" s="36"/>
      <c r="F413" s="36"/>
    </row>
    <row r="414" spans="1:6" ht="16" hidden="1" customHeight="1" x14ac:dyDescent="0.2">
      <c r="A414" s="34"/>
      <c r="B414" s="58"/>
      <c r="C414" s="35"/>
      <c r="D414" s="36"/>
      <c r="E414" s="36"/>
      <c r="F414" s="36"/>
    </row>
    <row r="415" spans="1:6" ht="16" hidden="1" customHeight="1" x14ac:dyDescent="0.2">
      <c r="A415" s="34"/>
      <c r="B415" s="58"/>
      <c r="C415" s="35"/>
      <c r="D415" s="36"/>
      <c r="E415" s="36"/>
      <c r="F415" s="36"/>
    </row>
    <row r="416" spans="1:6" ht="16" hidden="1" customHeight="1" x14ac:dyDescent="0.2">
      <c r="A416" s="34"/>
      <c r="B416" s="58"/>
      <c r="C416" s="35"/>
      <c r="D416" s="36"/>
      <c r="E416" s="36"/>
      <c r="F416" s="36"/>
    </row>
    <row r="417" spans="1:6" ht="16" hidden="1" customHeight="1" x14ac:dyDescent="0.2">
      <c r="A417" s="34"/>
      <c r="B417" s="58"/>
      <c r="C417" s="35"/>
      <c r="D417" s="36"/>
      <c r="E417" s="36"/>
      <c r="F417" s="36"/>
    </row>
    <row r="418" spans="1:6" ht="16" hidden="1" customHeight="1" x14ac:dyDescent="0.2">
      <c r="A418" s="34"/>
      <c r="B418" s="58"/>
      <c r="C418" s="35"/>
      <c r="D418" s="36"/>
      <c r="E418" s="36"/>
      <c r="F418" s="36"/>
    </row>
    <row r="419" spans="1:6" ht="16" hidden="1" customHeight="1" x14ac:dyDescent="0.2">
      <c r="A419" s="34"/>
      <c r="B419" s="58"/>
      <c r="C419" s="35"/>
      <c r="D419" s="36"/>
      <c r="E419" s="36"/>
      <c r="F419" s="36"/>
    </row>
    <row r="420" spans="1:6" ht="16" hidden="1" customHeight="1" x14ac:dyDescent="0.2">
      <c r="A420" s="34"/>
      <c r="B420" s="58"/>
      <c r="C420" s="35"/>
      <c r="D420" s="36"/>
      <c r="E420" s="36"/>
      <c r="F420" s="36"/>
    </row>
    <row r="421" spans="1:6" ht="16" hidden="1" customHeight="1" x14ac:dyDescent="0.2">
      <c r="A421" s="34"/>
      <c r="B421" s="58"/>
      <c r="C421" s="35"/>
      <c r="D421" s="36"/>
      <c r="E421" s="36"/>
      <c r="F421" s="36"/>
    </row>
    <row r="422" spans="1:6" ht="16" hidden="1" customHeight="1" x14ac:dyDescent="0.2">
      <c r="A422" s="34"/>
      <c r="B422" s="58"/>
      <c r="C422" s="35"/>
      <c r="D422" s="36"/>
      <c r="E422" s="36"/>
      <c r="F422" s="36"/>
    </row>
    <row r="423" spans="1:6" ht="16" hidden="1" customHeight="1" x14ac:dyDescent="0.2">
      <c r="A423" s="34"/>
      <c r="B423" s="58"/>
      <c r="C423" s="35"/>
      <c r="D423" s="36"/>
      <c r="E423" s="36"/>
      <c r="F423" s="36"/>
    </row>
    <row r="424" spans="1:6" ht="16" hidden="1" customHeight="1" x14ac:dyDescent="0.2">
      <c r="A424" s="34"/>
      <c r="B424" s="58"/>
      <c r="C424" s="35"/>
      <c r="D424" s="36"/>
      <c r="E424" s="36"/>
      <c r="F424" s="36"/>
    </row>
    <row r="425" spans="1:6" ht="16" hidden="1" customHeight="1" x14ac:dyDescent="0.2">
      <c r="A425" s="34"/>
      <c r="B425" s="58"/>
      <c r="C425" s="35"/>
      <c r="D425" s="36"/>
      <c r="E425" s="36"/>
      <c r="F425" s="36"/>
    </row>
    <row r="426" spans="1:6" ht="16" hidden="1" customHeight="1" x14ac:dyDescent="0.2">
      <c r="A426" s="34"/>
      <c r="B426" s="58"/>
      <c r="C426" s="35"/>
      <c r="D426" s="36"/>
      <c r="E426" s="36"/>
      <c r="F426" s="36"/>
    </row>
    <row r="427" spans="1:6" ht="16" hidden="1" customHeight="1" x14ac:dyDescent="0.2">
      <c r="A427" s="34"/>
      <c r="B427" s="58"/>
      <c r="C427" s="35"/>
      <c r="D427" s="36"/>
      <c r="E427" s="36"/>
      <c r="F427" s="36"/>
    </row>
    <row r="428" spans="1:6" ht="16" hidden="1" customHeight="1" x14ac:dyDescent="0.2">
      <c r="A428" s="34"/>
      <c r="B428" s="58"/>
      <c r="C428" s="35"/>
      <c r="D428" s="36"/>
      <c r="E428" s="36"/>
      <c r="F428" s="36"/>
    </row>
    <row r="429" spans="1:6" ht="16" hidden="1" customHeight="1" x14ac:dyDescent="0.2">
      <c r="A429" s="34"/>
      <c r="B429" s="58"/>
      <c r="C429" s="35"/>
      <c r="D429" s="36"/>
      <c r="E429" s="36"/>
      <c r="F429" s="36"/>
    </row>
    <row r="430" spans="1:6" ht="16" hidden="1" customHeight="1" x14ac:dyDescent="0.2">
      <c r="A430" s="34"/>
      <c r="B430" s="58"/>
      <c r="C430" s="35"/>
      <c r="D430" s="36"/>
      <c r="E430" s="36"/>
      <c r="F430" s="36"/>
    </row>
    <row r="431" spans="1:6" ht="16" hidden="1" customHeight="1" x14ac:dyDescent="0.2">
      <c r="A431" s="34"/>
      <c r="B431" s="58"/>
      <c r="C431" s="35"/>
      <c r="D431" s="36"/>
      <c r="E431" s="36"/>
      <c r="F431" s="36"/>
    </row>
    <row r="432" spans="1:6" ht="16" hidden="1" customHeight="1" x14ac:dyDescent="0.2">
      <c r="A432" s="34"/>
      <c r="B432" s="58"/>
      <c r="C432" s="35"/>
      <c r="D432" s="36"/>
      <c r="E432" s="36"/>
      <c r="F432" s="36"/>
    </row>
    <row r="433" spans="1:6" ht="16" hidden="1" customHeight="1" x14ac:dyDescent="0.2">
      <c r="A433" s="34"/>
      <c r="B433" s="58"/>
      <c r="C433" s="35"/>
      <c r="D433" s="36"/>
      <c r="E433" s="36"/>
      <c r="F433" s="36"/>
    </row>
    <row r="434" spans="1:6" ht="16" hidden="1" customHeight="1" x14ac:dyDescent="0.2">
      <c r="A434" s="34"/>
      <c r="B434" s="58"/>
      <c r="C434" s="35"/>
      <c r="D434" s="36"/>
      <c r="E434" s="36"/>
      <c r="F434" s="36"/>
    </row>
    <row r="435" spans="1:6" ht="16" hidden="1" customHeight="1" x14ac:dyDescent="0.2">
      <c r="A435" s="34"/>
      <c r="B435" s="58"/>
      <c r="C435" s="35"/>
      <c r="D435" s="36"/>
      <c r="E435" s="36"/>
      <c r="F435" s="36"/>
    </row>
    <row r="436" spans="1:6" ht="16" hidden="1" customHeight="1" x14ac:dyDescent="0.2">
      <c r="A436" s="34"/>
      <c r="B436" s="58"/>
      <c r="C436" s="35"/>
      <c r="D436" s="36"/>
      <c r="E436" s="36"/>
      <c r="F436" s="36"/>
    </row>
    <row r="437" spans="1:6" ht="16" hidden="1" customHeight="1" x14ac:dyDescent="0.2">
      <c r="A437" s="34"/>
      <c r="B437" s="58"/>
      <c r="C437" s="35"/>
      <c r="D437" s="36"/>
      <c r="E437" s="36"/>
      <c r="F437" s="36"/>
    </row>
    <row r="438" spans="1:6" ht="16" hidden="1" customHeight="1" x14ac:dyDescent="0.2">
      <c r="A438" s="34"/>
      <c r="B438" s="58"/>
      <c r="C438" s="35"/>
      <c r="D438" s="36"/>
      <c r="E438" s="36"/>
      <c r="F438" s="36"/>
    </row>
    <row r="439" spans="1:6" ht="16" hidden="1" customHeight="1" x14ac:dyDescent="0.2">
      <c r="A439" s="34"/>
      <c r="B439" s="58"/>
      <c r="C439" s="35"/>
      <c r="D439" s="36"/>
      <c r="E439" s="36"/>
      <c r="F439" s="36"/>
    </row>
    <row r="440" spans="1:6" ht="16" hidden="1" customHeight="1" x14ac:dyDescent="0.2">
      <c r="A440" s="34"/>
      <c r="B440" s="58"/>
      <c r="C440" s="35"/>
      <c r="D440" s="36"/>
      <c r="E440" s="36"/>
      <c r="F440" s="36"/>
    </row>
    <row r="441" spans="1:6" ht="16" hidden="1" customHeight="1" x14ac:dyDescent="0.2">
      <c r="A441" s="34"/>
      <c r="B441" s="58"/>
      <c r="C441" s="35"/>
      <c r="D441" s="36"/>
      <c r="E441" s="36"/>
      <c r="F441" s="36"/>
    </row>
    <row r="442" spans="1:6" ht="16" hidden="1" customHeight="1" x14ac:dyDescent="0.2">
      <c r="A442" s="34"/>
      <c r="B442" s="58"/>
      <c r="C442" s="35"/>
      <c r="D442" s="36"/>
      <c r="E442" s="36"/>
      <c r="F442" s="36"/>
    </row>
    <row r="443" spans="1:6" ht="16" hidden="1" customHeight="1" x14ac:dyDescent="0.2">
      <c r="A443" s="34"/>
      <c r="B443" s="58"/>
      <c r="C443" s="35"/>
      <c r="D443" s="36"/>
      <c r="E443" s="36"/>
      <c r="F443" s="36"/>
    </row>
    <row r="444" spans="1:6" ht="16" hidden="1" customHeight="1" x14ac:dyDescent="0.2">
      <c r="A444" s="34"/>
      <c r="B444" s="58"/>
      <c r="C444" s="35"/>
      <c r="D444" s="36"/>
      <c r="E444" s="36"/>
      <c r="F444" s="36"/>
    </row>
    <row r="445" spans="1:6" ht="16" hidden="1" customHeight="1" x14ac:dyDescent="0.2">
      <c r="A445" s="34"/>
      <c r="B445" s="58"/>
      <c r="C445" s="35"/>
      <c r="D445" s="36"/>
      <c r="E445" s="36"/>
      <c r="F445" s="36"/>
    </row>
    <row r="446" spans="1:6" ht="16" hidden="1" customHeight="1" x14ac:dyDescent="0.2">
      <c r="A446" s="34"/>
      <c r="B446" s="58"/>
      <c r="C446" s="35"/>
      <c r="D446" s="36"/>
      <c r="E446" s="36"/>
      <c r="F446" s="36"/>
    </row>
    <row r="447" spans="1:6" ht="16" hidden="1" customHeight="1" x14ac:dyDescent="0.2">
      <c r="A447" s="34"/>
      <c r="B447" s="58"/>
      <c r="C447" s="35"/>
      <c r="D447" s="36"/>
      <c r="E447" s="36"/>
      <c r="F447" s="36"/>
    </row>
    <row r="448" spans="1:6" ht="16" hidden="1" customHeight="1" x14ac:dyDescent="0.2">
      <c r="A448" s="34"/>
      <c r="B448" s="58"/>
      <c r="C448" s="35"/>
      <c r="D448" s="36"/>
      <c r="E448" s="36"/>
      <c r="F448" s="36"/>
    </row>
    <row r="449" spans="1:6" ht="16" hidden="1" customHeight="1" x14ac:dyDescent="0.2">
      <c r="A449" s="34"/>
      <c r="B449" s="58"/>
      <c r="C449" s="35"/>
      <c r="D449" s="36"/>
      <c r="E449" s="36"/>
      <c r="F449" s="36"/>
    </row>
    <row r="450" spans="1:6" ht="16" hidden="1" customHeight="1" x14ac:dyDescent="0.2">
      <c r="A450" s="34"/>
      <c r="B450" s="58"/>
      <c r="C450" s="35"/>
      <c r="D450" s="36"/>
      <c r="E450" s="36"/>
      <c r="F450" s="36"/>
    </row>
    <row r="451" spans="1:6" ht="16" hidden="1" customHeight="1" x14ac:dyDescent="0.2">
      <c r="A451" s="34"/>
      <c r="B451" s="58"/>
      <c r="C451" s="35"/>
      <c r="D451" s="36"/>
      <c r="E451" s="36"/>
      <c r="F451" s="36"/>
    </row>
    <row r="452" spans="1:6" ht="16" hidden="1" customHeight="1" x14ac:dyDescent="0.2">
      <c r="A452" s="34"/>
      <c r="B452" s="58"/>
      <c r="C452" s="35"/>
      <c r="D452" s="36"/>
      <c r="E452" s="36"/>
      <c r="F452" s="36"/>
    </row>
    <row r="453" spans="1:6" ht="16" hidden="1" customHeight="1" x14ac:dyDescent="0.2">
      <c r="A453" s="34"/>
      <c r="B453" s="58"/>
      <c r="C453" s="35"/>
      <c r="D453" s="36"/>
      <c r="E453" s="36"/>
      <c r="F453" s="36"/>
    </row>
    <row r="454" spans="1:6" ht="16" hidden="1" customHeight="1" x14ac:dyDescent="0.2">
      <c r="A454" s="34"/>
      <c r="B454" s="58"/>
      <c r="C454" s="35"/>
      <c r="D454" s="36"/>
      <c r="E454" s="36"/>
      <c r="F454" s="36"/>
    </row>
    <row r="455" spans="1:6" ht="16" hidden="1" customHeight="1" x14ac:dyDescent="0.2">
      <c r="A455" s="34"/>
      <c r="B455" s="58"/>
      <c r="C455" s="35"/>
      <c r="D455" s="36"/>
      <c r="E455" s="36"/>
      <c r="F455" s="36"/>
    </row>
    <row r="456" spans="1:6" ht="16" hidden="1" customHeight="1" x14ac:dyDescent="0.2">
      <c r="A456" s="34"/>
      <c r="B456" s="58"/>
      <c r="C456" s="35"/>
      <c r="D456" s="36"/>
      <c r="E456" s="36"/>
      <c r="F456" s="36"/>
    </row>
    <row r="457" spans="1:6" ht="16" hidden="1" customHeight="1" x14ac:dyDescent="0.2">
      <c r="A457" s="34"/>
      <c r="B457" s="58"/>
      <c r="C457" s="35"/>
      <c r="D457" s="36"/>
      <c r="E457" s="36"/>
      <c r="F457" s="36"/>
    </row>
    <row r="458" spans="1:6" ht="16" hidden="1" customHeight="1" x14ac:dyDescent="0.2">
      <c r="A458" s="34"/>
      <c r="B458" s="58"/>
      <c r="C458" s="35"/>
      <c r="D458" s="36"/>
      <c r="E458" s="36"/>
      <c r="F458" s="36"/>
    </row>
    <row r="459" spans="1:6" ht="16" hidden="1" customHeight="1" x14ac:dyDescent="0.2">
      <c r="A459" s="34"/>
      <c r="B459" s="58"/>
      <c r="C459" s="35"/>
      <c r="D459" s="36"/>
      <c r="E459" s="36"/>
      <c r="F459" s="36"/>
    </row>
    <row r="460" spans="1:6" ht="16" hidden="1" customHeight="1" x14ac:dyDescent="0.2">
      <c r="A460" s="34"/>
      <c r="B460" s="58"/>
      <c r="C460" s="35"/>
      <c r="D460" s="36"/>
      <c r="E460" s="36"/>
      <c r="F460" s="36"/>
    </row>
    <row r="461" spans="1:6" ht="16" hidden="1" customHeight="1" x14ac:dyDescent="0.2">
      <c r="A461" s="34"/>
      <c r="B461" s="58"/>
      <c r="C461" s="35"/>
      <c r="D461" s="36"/>
      <c r="E461" s="36"/>
      <c r="F461" s="36"/>
    </row>
    <row r="462" spans="1:6" ht="16" hidden="1" customHeight="1" x14ac:dyDescent="0.2">
      <c r="A462" s="34"/>
      <c r="B462" s="58"/>
      <c r="C462" s="35"/>
      <c r="D462" s="36"/>
      <c r="E462" s="36"/>
      <c r="F462" s="36"/>
    </row>
    <row r="463" spans="1:6" ht="16" hidden="1" customHeight="1" x14ac:dyDescent="0.2">
      <c r="A463" s="34"/>
      <c r="B463" s="58"/>
      <c r="C463" s="35"/>
      <c r="D463" s="36"/>
      <c r="E463" s="36"/>
      <c r="F463" s="36"/>
    </row>
    <row r="464" spans="1:6" ht="16" hidden="1" customHeight="1" x14ac:dyDescent="0.2">
      <c r="A464" s="34"/>
      <c r="B464" s="58"/>
      <c r="C464" s="35"/>
      <c r="D464" s="36"/>
      <c r="E464" s="36"/>
      <c r="F464" s="36"/>
    </row>
    <row r="465" spans="1:6" ht="16" hidden="1" customHeight="1" x14ac:dyDescent="0.2">
      <c r="A465" s="34"/>
      <c r="B465" s="58"/>
      <c r="C465" s="35"/>
      <c r="D465" s="36"/>
      <c r="E465" s="36"/>
      <c r="F465" s="36"/>
    </row>
    <row r="466" spans="1:6" ht="16" hidden="1" customHeight="1" x14ac:dyDescent="0.2">
      <c r="A466" s="34"/>
      <c r="B466" s="58"/>
      <c r="C466" s="35"/>
      <c r="D466" s="36"/>
      <c r="E466" s="36"/>
      <c r="F466" s="36"/>
    </row>
    <row r="467" spans="1:6" ht="16" hidden="1" customHeight="1" x14ac:dyDescent="0.2">
      <c r="A467" s="34"/>
      <c r="B467" s="58"/>
      <c r="C467" s="35"/>
      <c r="D467" s="36"/>
      <c r="E467" s="36"/>
      <c r="F467" s="36"/>
    </row>
    <row r="468" spans="1:6" ht="16" hidden="1" customHeight="1" x14ac:dyDescent="0.2">
      <c r="A468" s="34"/>
      <c r="B468" s="58"/>
      <c r="C468" s="35"/>
      <c r="D468" s="36"/>
      <c r="E468" s="36"/>
      <c r="F468" s="36"/>
    </row>
    <row r="469" spans="1:6" ht="16" hidden="1" customHeight="1" x14ac:dyDescent="0.2">
      <c r="A469" s="34"/>
      <c r="B469" s="58"/>
      <c r="C469" s="35"/>
      <c r="D469" s="36"/>
      <c r="E469" s="36"/>
      <c r="F469" s="36"/>
    </row>
    <row r="470" spans="1:6" ht="16" hidden="1" customHeight="1" x14ac:dyDescent="0.2">
      <c r="A470" s="34"/>
      <c r="B470" s="58"/>
      <c r="C470" s="35"/>
      <c r="D470" s="36"/>
      <c r="E470" s="36"/>
      <c r="F470" s="36"/>
    </row>
    <row r="471" spans="1:6" ht="16" hidden="1" customHeight="1" x14ac:dyDescent="0.2">
      <c r="A471" s="34"/>
      <c r="B471" s="58"/>
      <c r="C471" s="35"/>
      <c r="D471" s="36"/>
      <c r="E471" s="36"/>
      <c r="F471" s="36"/>
    </row>
    <row r="472" spans="1:6" ht="16" hidden="1" customHeight="1" x14ac:dyDescent="0.2">
      <c r="A472" s="34"/>
      <c r="B472" s="58"/>
      <c r="C472" s="35"/>
      <c r="D472" s="36"/>
      <c r="E472" s="36"/>
      <c r="F472" s="36"/>
    </row>
    <row r="473" spans="1:6" ht="16" hidden="1" customHeight="1" x14ac:dyDescent="0.2">
      <c r="A473" s="34"/>
      <c r="B473" s="58"/>
      <c r="C473" s="35"/>
      <c r="D473" s="36"/>
      <c r="E473" s="36"/>
      <c r="F473" s="36"/>
    </row>
    <row r="474" spans="1:6" ht="16" hidden="1" customHeight="1" x14ac:dyDescent="0.2">
      <c r="A474" s="34"/>
      <c r="B474" s="58"/>
      <c r="C474" s="35"/>
      <c r="D474" s="36"/>
      <c r="E474" s="36"/>
      <c r="F474" s="36"/>
    </row>
    <row r="475" spans="1:6" ht="16" hidden="1" customHeight="1" x14ac:dyDescent="0.2">
      <c r="A475" s="34"/>
      <c r="B475" s="58"/>
      <c r="C475" s="35"/>
      <c r="D475" s="36"/>
      <c r="E475" s="36"/>
      <c r="F475" s="36"/>
    </row>
    <row r="476" spans="1:6" ht="16" hidden="1" customHeight="1" x14ac:dyDescent="0.2">
      <c r="A476" s="34"/>
      <c r="B476" s="58"/>
      <c r="C476" s="35"/>
      <c r="D476" s="36"/>
      <c r="E476" s="36"/>
      <c r="F476" s="36"/>
    </row>
    <row r="477" spans="1:6" ht="16" hidden="1" customHeight="1" x14ac:dyDescent="0.2">
      <c r="A477" s="34"/>
      <c r="B477" s="58"/>
      <c r="C477" s="35"/>
      <c r="D477" s="36"/>
      <c r="E477" s="36"/>
      <c r="F477" s="36"/>
    </row>
    <row r="478" spans="1:6" ht="16" hidden="1" customHeight="1" x14ac:dyDescent="0.2">
      <c r="A478" s="34"/>
      <c r="B478" s="58"/>
      <c r="C478" s="35"/>
      <c r="D478" s="36"/>
      <c r="E478" s="36"/>
      <c r="F478" s="36"/>
    </row>
    <row r="479" spans="1:6" ht="16" hidden="1" customHeight="1" x14ac:dyDescent="0.2">
      <c r="A479" s="34"/>
      <c r="B479" s="58"/>
      <c r="C479" s="35"/>
      <c r="D479" s="36"/>
      <c r="E479" s="36"/>
      <c r="F479" s="36"/>
    </row>
    <row r="480" spans="1:6" ht="16" hidden="1" customHeight="1" x14ac:dyDescent="0.2">
      <c r="A480" s="34"/>
      <c r="B480" s="58"/>
      <c r="C480" s="35"/>
      <c r="D480" s="36"/>
      <c r="E480" s="36"/>
      <c r="F480" s="36"/>
    </row>
    <row r="481" spans="1:6" ht="16" hidden="1" customHeight="1" x14ac:dyDescent="0.2">
      <c r="A481" s="34"/>
      <c r="B481" s="58"/>
      <c r="C481" s="35"/>
      <c r="D481" s="36"/>
      <c r="E481" s="36"/>
      <c r="F481" s="36"/>
    </row>
    <row r="482" spans="1:6" ht="16" hidden="1" customHeight="1" x14ac:dyDescent="0.2">
      <c r="A482" s="34"/>
      <c r="B482" s="58"/>
      <c r="C482" s="35"/>
      <c r="D482" s="36"/>
      <c r="E482" s="36"/>
      <c r="F482" s="36"/>
    </row>
    <row r="483" spans="1:6" ht="16" hidden="1" customHeight="1" x14ac:dyDescent="0.2">
      <c r="A483" s="34"/>
      <c r="B483" s="58"/>
      <c r="C483" s="35"/>
      <c r="D483" s="36"/>
      <c r="E483" s="36"/>
      <c r="F483" s="36"/>
    </row>
    <row r="484" spans="1:6" ht="16" hidden="1" customHeight="1" x14ac:dyDescent="0.2">
      <c r="A484" s="34"/>
      <c r="B484" s="58"/>
      <c r="C484" s="35"/>
      <c r="D484" s="36"/>
      <c r="E484" s="36"/>
      <c r="F484" s="36"/>
    </row>
    <row r="485" spans="1:6" ht="16" hidden="1" customHeight="1" x14ac:dyDescent="0.2">
      <c r="A485" s="34"/>
      <c r="B485" s="58"/>
      <c r="C485" s="35"/>
      <c r="D485" s="36"/>
      <c r="E485" s="36"/>
      <c r="F485" s="36"/>
    </row>
    <row r="486" spans="1:6" ht="16" hidden="1" customHeight="1" x14ac:dyDescent="0.2">
      <c r="A486" s="34"/>
      <c r="B486" s="58"/>
      <c r="C486" s="35"/>
      <c r="D486" s="36"/>
      <c r="E486" s="36"/>
      <c r="F486" s="36"/>
    </row>
    <row r="487" spans="1:6" ht="16" hidden="1" customHeight="1" x14ac:dyDescent="0.2">
      <c r="A487" s="34"/>
      <c r="B487" s="58"/>
      <c r="C487" s="35"/>
      <c r="D487" s="36"/>
      <c r="E487" s="36"/>
      <c r="F487" s="36"/>
    </row>
    <row r="488" spans="1:6" ht="16" hidden="1" customHeight="1" x14ac:dyDescent="0.2">
      <c r="A488" s="34"/>
      <c r="B488" s="58"/>
      <c r="C488" s="35"/>
      <c r="D488" s="36"/>
      <c r="E488" s="36"/>
      <c r="F488" s="36"/>
    </row>
    <row r="489" spans="1:6" ht="16" hidden="1" customHeight="1" x14ac:dyDescent="0.2">
      <c r="A489" s="34"/>
      <c r="B489" s="58"/>
      <c r="C489" s="35"/>
      <c r="D489" s="36"/>
      <c r="E489" s="36"/>
      <c r="F489" s="36"/>
    </row>
    <row r="490" spans="1:6" ht="16" hidden="1" customHeight="1" x14ac:dyDescent="0.2">
      <c r="A490" s="34"/>
      <c r="B490" s="58"/>
      <c r="C490" s="35"/>
      <c r="D490" s="36"/>
      <c r="E490" s="36"/>
      <c r="F490" s="36"/>
    </row>
    <row r="491" spans="1:6" ht="16" hidden="1" customHeight="1" x14ac:dyDescent="0.2">
      <c r="A491" s="34"/>
      <c r="B491" s="58"/>
      <c r="C491" s="35"/>
      <c r="D491" s="36"/>
      <c r="E491" s="36"/>
      <c r="F491" s="36"/>
    </row>
    <row r="492" spans="1:6" ht="16" hidden="1" customHeight="1" x14ac:dyDescent="0.2">
      <c r="A492" s="34"/>
      <c r="B492" s="58"/>
      <c r="C492" s="35"/>
      <c r="D492" s="36"/>
      <c r="E492" s="36"/>
      <c r="F492" s="36"/>
    </row>
    <row r="493" spans="1:6" ht="16" hidden="1" customHeight="1" x14ac:dyDescent="0.2">
      <c r="A493" s="34"/>
      <c r="B493" s="58"/>
      <c r="C493" s="35"/>
      <c r="D493" s="36"/>
      <c r="E493" s="36"/>
      <c r="F493" s="36"/>
    </row>
    <row r="494" spans="1:6" ht="16" hidden="1" customHeight="1" x14ac:dyDescent="0.2">
      <c r="A494" s="34"/>
      <c r="B494" s="58"/>
      <c r="C494" s="35"/>
      <c r="D494" s="36"/>
      <c r="E494" s="36"/>
      <c r="F494" s="36"/>
    </row>
    <row r="495" spans="1:6" ht="16" hidden="1" customHeight="1" x14ac:dyDescent="0.2">
      <c r="A495" s="34"/>
      <c r="B495" s="58"/>
      <c r="C495" s="35"/>
      <c r="D495" s="36"/>
      <c r="E495" s="36"/>
      <c r="F495" s="36"/>
    </row>
    <row r="496" spans="1:6" ht="16" hidden="1" customHeight="1" x14ac:dyDescent="0.2">
      <c r="A496" s="34"/>
      <c r="B496" s="58"/>
      <c r="C496" s="35"/>
      <c r="D496" s="36"/>
      <c r="E496" s="36"/>
      <c r="F496" s="36"/>
    </row>
    <row r="497" spans="1:6" ht="16" hidden="1" customHeight="1" x14ac:dyDescent="0.2">
      <c r="A497" s="34"/>
      <c r="B497" s="58"/>
      <c r="C497" s="35"/>
      <c r="D497" s="36"/>
      <c r="E497" s="36"/>
      <c r="F497" s="36"/>
    </row>
    <row r="498" spans="1:6" ht="16" hidden="1" customHeight="1" x14ac:dyDescent="0.2">
      <c r="A498" s="34"/>
      <c r="B498" s="58"/>
      <c r="C498" s="35"/>
      <c r="D498" s="36"/>
      <c r="E498" s="36"/>
      <c r="F498" s="36"/>
    </row>
    <row r="499" spans="1:6" ht="16" hidden="1" customHeight="1" x14ac:dyDescent="0.2">
      <c r="A499" s="34"/>
      <c r="B499" s="58"/>
      <c r="C499" s="35"/>
      <c r="D499" s="36"/>
      <c r="E499" s="36"/>
      <c r="F499" s="36"/>
    </row>
    <row r="500" spans="1:6" ht="16" hidden="1" customHeight="1" x14ac:dyDescent="0.2">
      <c r="A500" s="34"/>
      <c r="B500" s="58"/>
      <c r="C500" s="35"/>
      <c r="D500" s="36"/>
      <c r="E500" s="36"/>
      <c r="F500" s="36"/>
    </row>
    <row r="501" spans="1:6" ht="16" hidden="1" customHeight="1" x14ac:dyDescent="0.2">
      <c r="A501" s="34"/>
      <c r="B501" s="58"/>
      <c r="C501" s="35"/>
      <c r="D501" s="36"/>
      <c r="E501" s="36"/>
      <c r="F501" s="36"/>
    </row>
  </sheetData>
  <sheetProtection algorithmName="SHA-512" hashValue="RrvXOo6RHT+oVor7ZZrKXvk+XIg0cbbid7MsEgJMmq7QmUGMebhXHDzUl33DJdYldQvkCFF/Zk/WQEXkRMWALw==" saltValue="awQua6stJQ22OEDH5tD9/w==" spinCount="100000" sheet="1" objects="1" scenarios="1" formatColumns="0" autoFilter="0"/>
  <autoFilter ref="A1:G51" xr:uid="{8AF8FEA1-412C-4AB0-92F7-66DF64647731}"/>
  <conditionalFormatting sqref="G2:G51">
    <cfRule type="cellIs" dxfId="138" priority="11" operator="equal">
      <formula>"Overvalued"</formula>
    </cfRule>
    <cfRule type="expression" dxfId="137" priority="14">
      <formula>OR($G2="Fair Value - U",$G2="Fair Value - O")</formula>
    </cfRule>
    <cfRule type="cellIs" dxfId="136" priority="15" operator="equal">
      <formula>"Undervalued"</formula>
    </cfRule>
  </conditionalFormatting>
  <conditionalFormatting sqref="D2:D51">
    <cfRule type="expression" dxfId="135" priority="1">
      <formula>($C2)&gt;($D2)</formula>
    </cfRule>
    <cfRule type="expression" dxfId="134" priority="5">
      <formula>($C2)&lt;($D2)</formula>
    </cfRule>
  </conditionalFormatting>
  <conditionalFormatting sqref="E2:E51">
    <cfRule type="expression" dxfId="133" priority="2">
      <formula>($C2)&gt;($E2)</formula>
    </cfRule>
    <cfRule type="expression" dxfId="132" priority="8">
      <formula>($C2)&lt;($E2)</formula>
    </cfRule>
  </conditionalFormatting>
  <conditionalFormatting sqref="F2:F51">
    <cfRule type="expression" dxfId="131" priority="4">
      <formula>($C2)&gt;($F2)</formula>
    </cfRule>
    <cfRule type="expression" dxfId="130" priority="10">
      <formula>($C2)&lt;($F2)</formula>
    </cfRule>
  </conditionalFormatting>
  <hyperlinks>
    <hyperlink ref="B2" location="'.X (2)'!B8" tooltip="go to valuation" display=".X (2)" xr:uid="{EF50418B-26D1-C946-A2DF-6AE001B579C4}"/>
    <hyperlink ref="B3" location="'.X (3)'!B8" tooltip="go to valuation" display=".X (3)" xr:uid="{EE8045E2-972F-734A-85F2-26E5A8079881}"/>
    <hyperlink ref="B4" location="'ADBE'!B8" tooltip="go to valuation" display="ADBE" xr:uid="{0CB97C1B-D265-5F4E-B078-2447960C702D}"/>
    <hyperlink ref="B5" location="'AOS'!B8" tooltip="go to valuation" display="AOS" xr:uid="{7BBEA7D2-24A9-9340-8199-8999712AC172}"/>
    <hyperlink ref="B6" location="'ASML'!B8" tooltip="go to valuation" display="ASML" xr:uid="{A909A88D-75DD-4243-945C-45633A5BDAB7}"/>
    <hyperlink ref="B7" location="'BMI'!B8" tooltip="go to valuation" display="BMI" xr:uid="{C051A11F-7E21-8B40-9CFA-5D478780A5EC}"/>
    <hyperlink ref="B8" location="'CAN'!B8" tooltip="go to valuation" display="CAN" xr:uid="{FB8DE840-530E-E74D-821F-41615DFB8509}"/>
    <hyperlink ref="B9" location="'CMCSA'!B8" tooltip="go to valuation" display="CMCSA" xr:uid="{3862E59B-CE1E-7441-BD3B-1B2EA61E3624}"/>
    <hyperlink ref="B10" location="'COST'!B8" tooltip="go to valuation" display="COST" xr:uid="{1787CD82-CB9C-214A-8359-58A1B21BEDD7}"/>
    <hyperlink ref="B11" location="'CTSH'!B8" tooltip="go to valuation" display="CTSH" xr:uid="{298FD6DB-5868-2549-A098-6CD811E881D4}"/>
    <hyperlink ref="B12" location="'GGG'!B8" tooltip="go to valuation" display="GGG" xr:uid="{EAC60F97-0E94-3C42-9853-0890918CCA46}"/>
    <hyperlink ref="B13" location="'GIS'!B8" tooltip="go to valuation" display="GIS" xr:uid="{8682EA76-A4C1-4946-8F1B-30609BF1BA53}"/>
    <hyperlink ref="B14" location="'GOOGL'!B8" tooltip="go to valuation" display="GOOGL" xr:uid="{931B1121-F35F-3C4D-8342-8D484A0F8277}"/>
    <hyperlink ref="B15" location="'GRMN'!B8" tooltip="go to valuation" display="GRMN" xr:uid="{83080A9A-BA61-F145-A38D-4DEE8C64ED33}"/>
    <hyperlink ref="B16" location="'INFY'!B8" tooltip="go to valuation" display="INFY" xr:uid="{4839B24E-0D09-974B-867E-894E1D606D8A}"/>
    <hyperlink ref="B17" location="'MNST'!B8" tooltip="go to valuation" display="MNST" xr:uid="{03A967B5-6A9D-4249-9E95-D1EA5C24E615}"/>
    <hyperlink ref="B18" location="'MSFT'!B8" tooltip="go to valuation" display="MSFT" xr:uid="{E99566F5-21D0-034D-9B24-967B913336A7}"/>
    <hyperlink ref="B19" location="'MZTI'!B8" tooltip="go to valuation" display="MZTI" xr:uid="{9AE9C531-D04C-C942-87DF-35B2E5381F60}"/>
    <hyperlink ref="B20" location="'NKE'!B8" tooltip="go to valuation" display="NKE" xr:uid="{6DD6219F-A299-7C4C-BB66-B5A9B4E73BD4}"/>
    <hyperlink ref="B21" location="'NTES'!B8" tooltip="go to valuation" display="NTES" xr:uid="{52D68207-E433-5248-AF13-0D197AA72701}"/>
    <hyperlink ref="B22" location="'NYT'!B8" tooltip="go to valuation" display="NYT" xr:uid="{8487E22F-EAB4-7B41-8AE0-35127E2E5B49}"/>
    <hyperlink ref="B23" location="'PRDO'!B8" tooltip="go to valuation" display="PRDO" xr:uid="{CA8E7D50-2A47-DD45-A5FB-5C47D4D0F44E}"/>
    <hyperlink ref="B24" location="'QCOM'!B8" tooltip="go to valuation" display="QCOM" xr:uid="{A8FC2F9E-8735-754E-9520-02F07198CA80}"/>
    <hyperlink ref="B25" location="'RMD'!B8" tooltip="go to valuation" display="RMD" xr:uid="{5CA1BFDC-5463-C449-884E-4FAEC5800349}"/>
    <hyperlink ref="B26" location="'UNLR'!B8" tooltip="go to valuation" display="UNLR" xr:uid="{F50063BB-BD3F-9140-AC39-5A3610AB0F1F}"/>
    <hyperlink ref="B27" location="'VRTX'!B8" tooltip="go to valuation" display="VRTX" xr:uid="{D2598A79-00EF-F245-A57A-EEA12531729A}"/>
  </hyperlinks>
  <printOptions horizontalCentered="1"/>
  <pageMargins left="0.23622047244094491" right="0.23622047244094491" top="0.74803149606299213" bottom="0.39370078740157483" header="0.31496062992125984" footer="0.31496062992125984"/>
  <pageSetup paperSize="9" scale="55" fitToHeight="0" orientation="portrait" r:id="rId1"/>
  <headerFooter>
    <oddFooter>&amp;R&amp;10&amp;"Calibri"Equity Multiple Valuation | Stock Valuation Calculator&amp;L&amp;10&amp;"Calibri"Copyright © Effective Trading Solutions Pty Ltd, all rights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absAscending">
                <anchor moveWithCells="1" sizeWithCells="1">
                  <from>
                    <xdr:col>7</xdr:col>
                    <xdr:colOff>279400</xdr:colOff>
                    <xdr:row>0</xdr:row>
                    <xdr:rowOff>101600</xdr:rowOff>
                  </from>
                  <to>
                    <xdr:col>9</xdr:col>
                    <xdr:colOff>533400</xdr:colOff>
                    <xdr:row>0</xdr:row>
                    <xdr:rowOff>482600</xdr:rowOff>
                  </to>
                </anchor>
              </controlPr>
            </control>
          </mc:Choice>
        </mc:AlternateContent>
        <mc:AlternateContent xmlns:mc="http://schemas.openxmlformats.org/markup-compatibility/2006">
          <mc:Choice Requires="x14">
            <control shapeId="2051" r:id="rId5" name="Button 3">
              <controlPr defaultSize="0" print="0" autoFill="0" autoPict="0" macro="[0]!Add_Worksheets">
                <anchor moveWithCells="1" sizeWithCells="1">
                  <from>
                    <xdr:col>7</xdr:col>
                    <xdr:colOff>292100</xdr:colOff>
                    <xdr:row>1</xdr:row>
                    <xdr:rowOff>139700</xdr:rowOff>
                  </from>
                  <to>
                    <xdr:col>9</xdr:col>
                    <xdr:colOff>546100</xdr:colOff>
                    <xdr:row>3</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89781-46BC-4A0F-A64B-A67A3BB66092}">
  <sheetPr codeName="ShBlank">
    <pageSetUpPr fitToPage="1"/>
  </sheetPr>
  <dimension ref="A1:G34"/>
  <sheetViews>
    <sheetView showGridLines="0" zoomScale="110"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c r="C7" s="2"/>
      <c r="D7" s="2"/>
      <c r="E7" s="2"/>
      <c r="F7" s="2"/>
      <c r="G7" s="1"/>
    </row>
    <row r="8" spans="1:7" ht="18" customHeight="1" x14ac:dyDescent="0.2">
      <c r="A8" s="6" t="s">
        <v>1</v>
      </c>
      <c r="B8" s="26"/>
      <c r="C8" s="2"/>
      <c r="D8" s="2"/>
      <c r="E8" s="2"/>
      <c r="F8" s="2"/>
      <c r="G8" s="1"/>
    </row>
    <row r="9" spans="1:7" ht="18" customHeight="1" x14ac:dyDescent="0.2">
      <c r="A9" s="6" t="s">
        <v>2</v>
      </c>
      <c r="B9" s="27"/>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c r="C12" s="44"/>
      <c r="D12" s="44"/>
      <c r="E12" s="44"/>
      <c r="F12" s="44"/>
      <c r="G12" s="1"/>
    </row>
    <row r="13" spans="1:7" ht="18" customHeight="1" x14ac:dyDescent="0.2">
      <c r="A13" s="6" t="s">
        <v>21</v>
      </c>
      <c r="B13" s="45"/>
      <c r="C13" s="45"/>
      <c r="D13" s="45"/>
      <c r="E13" s="45"/>
      <c r="F13" s="45"/>
      <c r="G13" s="1"/>
    </row>
    <row r="14" spans="1:7" ht="18" customHeight="1" x14ac:dyDescent="0.2">
      <c r="A14" s="6" t="s">
        <v>9</v>
      </c>
      <c r="B14" s="46"/>
      <c r="C14" s="8"/>
      <c r="D14" s="9"/>
      <c r="E14" s="9"/>
      <c r="F14" s="9"/>
      <c r="G14" s="1"/>
    </row>
    <row r="15" spans="1:7" ht="18" customHeight="1" x14ac:dyDescent="0.2">
      <c r="A15" s="6" t="s">
        <v>27</v>
      </c>
      <c r="B15" s="56"/>
      <c r="C15" s="10"/>
      <c r="D15" s="2"/>
      <c r="E15" s="2"/>
      <c r="F15" s="2"/>
      <c r="G15" s="1"/>
    </row>
    <row r="16" spans="1:7" ht="18" customHeight="1" x14ac:dyDescent="0.2">
      <c r="A16" s="11" t="s">
        <v>26</v>
      </c>
      <c r="B16" s="57"/>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sAlG/xTTnAZLaNB027QA6jB1qBPDlDAUHMig0IuCFZ4Q4ERxrShcQE9z/k3U0dZn4MMZpGZrEdklLvB0La1xKg==" saltValue="bGeZ7d6p1v24V+FBB+ZvLA==" spinCount="100000" sheet="1" objects="1" scenarios="1" selectLockedCells="1"/>
  <protectedRanges>
    <protectedRange sqref="A1:E34 G1:G34 F1:F3 F5:F34" name="Blueprint"/>
  </protectedRanges>
  <conditionalFormatting sqref="B30:D30">
    <cfRule type="cellIs" dxfId="129" priority="1" operator="lessThan">
      <formula>0</formula>
    </cfRule>
    <cfRule type="cellIs" dxfId="128" priority="2" operator="greaterThan">
      <formula>0</formula>
    </cfRule>
  </conditionalFormatting>
  <conditionalFormatting sqref="B32">
    <cfRule type="cellIs" dxfId="127" priority="3" operator="equal">
      <formula>"Overvalued"</formula>
    </cfRule>
    <cfRule type="expression" dxfId="126" priority="4">
      <formula>IF(OR($B$32="Fair Value",$B$32="Fair Value - U",$B$32="Fair Value - O"),"True","")</formula>
    </cfRule>
    <cfRule type="cellIs" dxfId="125"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8C20D918-46AD-440A-86B9-9297EAD2DA87}">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AFBA8-6D02-0047-AB27-FF6AD38499CF}">
  <sheetPr codeName="ShBlank22">
    <pageSetUpPr fitToPage="1"/>
  </sheetPr>
  <dimension ref="A1:G34"/>
  <sheetViews>
    <sheetView showGridLines="0" zoomScale="110"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c r="C7" s="2"/>
      <c r="D7" s="2"/>
      <c r="E7" s="2"/>
      <c r="F7" s="2"/>
      <c r="G7" s="1"/>
    </row>
    <row r="8" spans="1:7" ht="18" customHeight="1" x14ac:dyDescent="0.2">
      <c r="A8" s="6" t="s">
        <v>1</v>
      </c>
      <c r="B8" s="26"/>
      <c r="C8" s="2"/>
      <c r="D8" s="2"/>
      <c r="E8" s="2"/>
      <c r="F8" s="2"/>
      <c r="G8" s="1"/>
    </row>
    <row r="9" spans="1:7" ht="18" customHeight="1" x14ac:dyDescent="0.2">
      <c r="A9" s="6" t="s">
        <v>2</v>
      </c>
      <c r="B9" s="27"/>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c r="C12" s="44"/>
      <c r="D12" s="44"/>
      <c r="E12" s="44"/>
      <c r="F12" s="44"/>
      <c r="G12" s="1"/>
    </row>
    <row r="13" spans="1:7" ht="18" customHeight="1" x14ac:dyDescent="0.2">
      <c r="A13" s="6" t="s">
        <v>21</v>
      </c>
      <c r="B13" s="45"/>
      <c r="C13" s="45"/>
      <c r="D13" s="45"/>
      <c r="E13" s="45"/>
      <c r="F13" s="45"/>
      <c r="G13" s="1"/>
    </row>
    <row r="14" spans="1:7" ht="18" customHeight="1" x14ac:dyDescent="0.2">
      <c r="A14" s="6" t="s">
        <v>9</v>
      </c>
      <c r="B14" s="46"/>
      <c r="C14" s="8"/>
      <c r="D14" s="9"/>
      <c r="E14" s="9"/>
      <c r="F14" s="9"/>
      <c r="G14" s="1"/>
    </row>
    <row r="15" spans="1:7" ht="18" customHeight="1" x14ac:dyDescent="0.2">
      <c r="A15" s="6" t="s">
        <v>27</v>
      </c>
      <c r="B15" s="56"/>
      <c r="C15" s="10"/>
      <c r="D15" s="2"/>
      <c r="E15" s="2"/>
      <c r="F15" s="2"/>
      <c r="G15" s="1"/>
    </row>
    <row r="16" spans="1:7" ht="18" customHeight="1" x14ac:dyDescent="0.2">
      <c r="A16" s="11" t="s">
        <v>26</v>
      </c>
      <c r="B16" s="57"/>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doq8lzact7gkWPiHoLqXFwZO2CRW+irNKxY7DIv3FZyMhHBDtkGmuKXIvro/wFftjmkjKXuREC3KB0Dul3lj/Q==" saltValue="YkYMJmhumRzsK7GZ3SykGw==" spinCount="100000" sheet="1" objects="1" scenarios="1" selectLockedCells="1"/>
  <protectedRanges>
    <protectedRange sqref="A1:E34 G1:G34 F1:F3 F5:F34" name="Blueprint"/>
  </protectedRanges>
  <conditionalFormatting sqref="B30:D30">
    <cfRule type="cellIs" dxfId="124" priority="1" operator="lessThan">
      <formula>0</formula>
    </cfRule>
    <cfRule type="cellIs" dxfId="123" priority="2" operator="greaterThan">
      <formula>0</formula>
    </cfRule>
  </conditionalFormatting>
  <conditionalFormatting sqref="B32">
    <cfRule type="cellIs" dxfId="122" priority="3" operator="equal">
      <formula>"Overvalued"</formula>
    </cfRule>
    <cfRule type="expression" dxfId="121" priority="4">
      <formula>IF(OR($B$32="Fair Value",$B$32="Fair Value - U",$B$32="Fair Value - O"),"True","")</formula>
    </cfRule>
    <cfRule type="cellIs" dxfId="120"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024C62DE-C86B-FF4A-BBD1-42E699380CCB}">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1FAF8-618B-A640-887F-B482483D9C90}">
  <sheetPr codeName="ShBlank23">
    <pageSetUpPr fitToPage="1"/>
  </sheetPr>
  <dimension ref="A1:G34"/>
  <sheetViews>
    <sheetView showGridLines="0" zoomScale="110"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c r="C7" s="2"/>
      <c r="D7" s="2"/>
      <c r="E7" s="2"/>
      <c r="F7" s="2"/>
      <c r="G7" s="1"/>
    </row>
    <row r="8" spans="1:7" ht="18" customHeight="1" x14ac:dyDescent="0.2">
      <c r="A8" s="6" t="s">
        <v>1</v>
      </c>
      <c r="B8" s="26"/>
      <c r="C8" s="2"/>
      <c r="D8" s="2"/>
      <c r="E8" s="2"/>
      <c r="F8" s="2"/>
      <c r="G8" s="1"/>
    </row>
    <row r="9" spans="1:7" ht="18" customHeight="1" x14ac:dyDescent="0.2">
      <c r="A9" s="6" t="s">
        <v>2</v>
      </c>
      <c r="B9" s="27"/>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c r="C12" s="44"/>
      <c r="D12" s="44"/>
      <c r="E12" s="44"/>
      <c r="F12" s="44"/>
      <c r="G12" s="1"/>
    </row>
    <row r="13" spans="1:7" ht="18" customHeight="1" x14ac:dyDescent="0.2">
      <c r="A13" s="6" t="s">
        <v>21</v>
      </c>
      <c r="B13" s="45"/>
      <c r="C13" s="45"/>
      <c r="D13" s="45"/>
      <c r="E13" s="45"/>
      <c r="F13" s="45"/>
      <c r="G13" s="1"/>
    </row>
    <row r="14" spans="1:7" ht="18" customHeight="1" x14ac:dyDescent="0.2">
      <c r="A14" s="6" t="s">
        <v>9</v>
      </c>
      <c r="B14" s="46"/>
      <c r="C14" s="8"/>
      <c r="D14" s="9"/>
      <c r="E14" s="9"/>
      <c r="F14" s="9"/>
      <c r="G14" s="1"/>
    </row>
    <row r="15" spans="1:7" ht="18" customHeight="1" x14ac:dyDescent="0.2">
      <c r="A15" s="6" t="s">
        <v>27</v>
      </c>
      <c r="B15" s="56"/>
      <c r="C15" s="10"/>
      <c r="D15" s="2"/>
      <c r="E15" s="2"/>
      <c r="F15" s="2"/>
      <c r="G15" s="1"/>
    </row>
    <row r="16" spans="1:7" ht="18" customHeight="1" x14ac:dyDescent="0.2">
      <c r="A16" s="11" t="s">
        <v>26</v>
      </c>
      <c r="B16" s="57"/>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RLkJ0RFUrGTX/bPmUptJc8Byf3tNIcsonf0Hzo4267GWBlCUvc/4m1Aym7x7LQOGastrMq4lMrCaGVdOydu+QA==" saltValue="f2kXe+2gmfrqb5RtAqeY1w==" spinCount="100000" sheet="1" objects="1" scenarios="1" selectLockedCells="1"/>
  <protectedRanges>
    <protectedRange sqref="A1:E34 G1:G34 F1:F3 F5:F34" name="Blueprint"/>
  </protectedRanges>
  <conditionalFormatting sqref="B30:D30">
    <cfRule type="cellIs" dxfId="119" priority="1" operator="lessThan">
      <formula>0</formula>
    </cfRule>
    <cfRule type="cellIs" dxfId="118" priority="2" operator="greaterThan">
      <formula>0</formula>
    </cfRule>
  </conditionalFormatting>
  <conditionalFormatting sqref="B32">
    <cfRule type="cellIs" dxfId="117" priority="3" operator="equal">
      <formula>"Overvalued"</formula>
    </cfRule>
    <cfRule type="expression" dxfId="116" priority="4">
      <formula>IF(OR($B$32="Fair Value",$B$32="Fair Value - U",$B$32="Fair Value - O"),"True","")</formula>
    </cfRule>
    <cfRule type="cellIs" dxfId="115"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433EFDA1-84AC-7C48-8DE0-79C101E80FBC}">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A310A-2A7B-FD46-8CB3-F32008CF7051}">
  <sheetPr codeName="ShBlank13">
    <pageSetUpPr fitToPage="1"/>
  </sheetPr>
  <dimension ref="A1:G34"/>
  <sheetViews>
    <sheetView showGridLines="0" topLeftCell="A4" zoomScale="136"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v>46132</v>
      </c>
      <c r="C7" s="2"/>
      <c r="D7" s="2"/>
      <c r="E7" s="2"/>
      <c r="F7" s="2"/>
      <c r="G7" s="1"/>
    </row>
    <row r="8" spans="1:7" ht="18" customHeight="1" x14ac:dyDescent="0.2">
      <c r="A8" s="6" t="s">
        <v>1</v>
      </c>
      <c r="B8" s="26" t="s">
        <v>40</v>
      </c>
      <c r="C8" s="2"/>
      <c r="D8" s="2"/>
      <c r="E8" s="2"/>
      <c r="F8" s="2"/>
      <c r="G8" s="1"/>
    </row>
    <row r="9" spans="1:7" ht="18" customHeight="1" x14ac:dyDescent="0.2">
      <c r="A9" s="6" t="s">
        <v>2</v>
      </c>
      <c r="B9" s="27">
        <v>229.94</v>
      </c>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v>0.55400000000000005</v>
      </c>
      <c r="C12" s="44">
        <v>0.36299999999999999</v>
      </c>
      <c r="D12" s="44">
        <v>0.35499999999999998</v>
      </c>
      <c r="E12" s="44">
        <v>0.33</v>
      </c>
      <c r="F12" s="44">
        <v>0.34399999999999997</v>
      </c>
      <c r="G12" s="1"/>
    </row>
    <row r="13" spans="1:7" ht="18" customHeight="1" x14ac:dyDescent="0.2">
      <c r="A13" s="6" t="s">
        <v>21</v>
      </c>
      <c r="B13" s="45">
        <v>0</v>
      </c>
      <c r="C13" s="45">
        <v>0</v>
      </c>
      <c r="D13" s="45">
        <v>0</v>
      </c>
      <c r="E13" s="45">
        <v>0</v>
      </c>
      <c r="F13" s="45">
        <v>0</v>
      </c>
      <c r="G13" s="1"/>
    </row>
    <row r="14" spans="1:7" ht="18" customHeight="1" x14ac:dyDescent="0.2">
      <c r="A14" s="6" t="s">
        <v>9</v>
      </c>
      <c r="B14" s="46">
        <v>0.1</v>
      </c>
      <c r="C14" s="8"/>
      <c r="D14" s="9"/>
      <c r="E14" s="9"/>
      <c r="F14" s="9"/>
      <c r="G14" s="1"/>
    </row>
    <row r="15" spans="1:7" ht="18" customHeight="1" x14ac:dyDescent="0.2">
      <c r="A15" s="6" t="s">
        <v>27</v>
      </c>
      <c r="B15" s="56">
        <v>11433</v>
      </c>
      <c r="C15" s="10"/>
      <c r="D15" s="2"/>
      <c r="E15" s="2"/>
      <c r="F15" s="2"/>
      <c r="G15" s="1"/>
    </row>
    <row r="16" spans="1:7" ht="18" customHeight="1" x14ac:dyDescent="0.2">
      <c r="A16" s="11" t="s">
        <v>26</v>
      </c>
      <c r="B16" s="57">
        <v>404.2</v>
      </c>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fzSck6Y/WzBL4ZPNvScKU0ETtWNbjI2hgAdi8AQbSLN+3+FkHUK7xMS0ZIxS+zqyrsLwCksZpP8kBZS1TupjEA==" saltValue="T/LgB8+yUAHLvF1g1TAJLg==" spinCount="100000" sheet="1" objects="1" scenarios="1" selectLockedCells="1"/>
  <protectedRanges>
    <protectedRange sqref="A1:E34 G1:G34 F1:F3 F5:F34" name="Blueprint"/>
  </protectedRanges>
  <conditionalFormatting sqref="B30:D30">
    <cfRule type="cellIs" dxfId="114" priority="1" operator="lessThan">
      <formula>0</formula>
    </cfRule>
    <cfRule type="cellIs" dxfId="113" priority="2" operator="greaterThan">
      <formula>0</formula>
    </cfRule>
  </conditionalFormatting>
  <conditionalFormatting sqref="B32">
    <cfRule type="cellIs" dxfId="112" priority="3" operator="equal">
      <formula>"Overvalued"</formula>
    </cfRule>
    <cfRule type="expression" dxfId="111" priority="4">
      <formula>IF(OR($B$32="Fair Value",$B$32="Fair Value - U",$B$32="Fair Value - O"),"True","")</formula>
    </cfRule>
    <cfRule type="cellIs" dxfId="110"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42DD71C4-1B61-7648-B07B-EEF68C88B180}">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6AE01-37BF-F24A-9B08-86E82DC7170A}">
  <sheetPr codeName="ShBlank10">
    <pageSetUpPr fitToPage="1"/>
  </sheetPr>
  <dimension ref="A1:G34"/>
  <sheetViews>
    <sheetView showGridLines="0" topLeftCell="A13" zoomScale="184"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v>46130</v>
      </c>
      <c r="C7" s="2"/>
      <c r="D7" s="2"/>
      <c r="E7" s="2"/>
      <c r="F7" s="2"/>
      <c r="G7" s="1"/>
    </row>
    <row r="8" spans="1:7" ht="18" customHeight="1" x14ac:dyDescent="0.2">
      <c r="A8" s="6" t="s">
        <v>1</v>
      </c>
      <c r="B8" s="26" t="s">
        <v>45</v>
      </c>
      <c r="C8" s="2"/>
      <c r="D8" s="2"/>
      <c r="E8" s="2"/>
      <c r="F8" s="2"/>
      <c r="G8" s="1"/>
    </row>
    <row r="9" spans="1:7" ht="18" customHeight="1" x14ac:dyDescent="0.2">
      <c r="A9" s="6" t="s">
        <v>2</v>
      </c>
      <c r="B9" s="27">
        <v>64.819999999999993</v>
      </c>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v>0.29199999999999998</v>
      </c>
      <c r="C12" s="44">
        <v>0.2863</v>
      </c>
      <c r="D12" s="44">
        <v>0.30990000000000001</v>
      </c>
      <c r="E12" s="44">
        <v>0.13170000000000001</v>
      </c>
      <c r="F12" s="44">
        <v>0.26469999999999999</v>
      </c>
      <c r="G12" s="1"/>
    </row>
    <row r="13" spans="1:7" ht="18" customHeight="1" x14ac:dyDescent="0.2">
      <c r="A13" s="6" t="s">
        <v>21</v>
      </c>
      <c r="B13" s="45">
        <v>0.35859999999999997</v>
      </c>
      <c r="C13" s="45">
        <v>0.35830000000000001</v>
      </c>
      <c r="D13" s="45">
        <v>0.33100000000000002</v>
      </c>
      <c r="E13" s="45">
        <v>0.75349999999999995</v>
      </c>
      <c r="F13" s="45">
        <v>0.35110000000000002</v>
      </c>
      <c r="G13" s="1"/>
    </row>
    <row r="14" spans="1:7" ht="18" customHeight="1" x14ac:dyDescent="0.2">
      <c r="A14" s="6" t="s">
        <v>9</v>
      </c>
      <c r="B14" s="46">
        <v>0.1</v>
      </c>
      <c r="C14" s="8"/>
      <c r="D14" s="9"/>
      <c r="E14" s="9"/>
      <c r="F14" s="9"/>
      <c r="G14" s="1"/>
    </row>
    <row r="15" spans="1:7" ht="18" customHeight="1" x14ac:dyDescent="0.2">
      <c r="A15" s="6" t="s">
        <v>27</v>
      </c>
      <c r="B15" s="56">
        <v>1860</v>
      </c>
      <c r="C15" s="10"/>
      <c r="D15" s="2"/>
      <c r="E15" s="2"/>
      <c r="F15" s="2"/>
      <c r="G15" s="1"/>
    </row>
    <row r="16" spans="1:7" ht="18" customHeight="1" x14ac:dyDescent="0.2">
      <c r="A16" s="11" t="s">
        <v>26</v>
      </c>
      <c r="B16" s="57">
        <v>141.91</v>
      </c>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TmMmWzdLWXPC9XV7EG7cVZEtCYdKRmKukPGFfIGEvksP6MXwxkQlXaWWqQrq6lSbq0gcVLbSJevvz58eqMuNGQ==" saltValue="6rXm3hUcY5eJq3WvdngXGQ==" spinCount="100000" sheet="1" objects="1" scenarios="1" selectLockedCells="1"/>
  <protectedRanges>
    <protectedRange sqref="A1:E34 G1:G34 F1:F3 F5:F34" name="Blueprint"/>
  </protectedRanges>
  <conditionalFormatting sqref="B30:D30">
    <cfRule type="cellIs" dxfId="109" priority="1" operator="lessThan">
      <formula>0</formula>
    </cfRule>
    <cfRule type="cellIs" dxfId="108" priority="2" operator="greaterThan">
      <formula>0</formula>
    </cfRule>
  </conditionalFormatting>
  <conditionalFormatting sqref="B32">
    <cfRule type="cellIs" dxfId="107" priority="3" operator="equal">
      <formula>"Overvalued"</formula>
    </cfRule>
    <cfRule type="expression" dxfId="106" priority="4">
      <formula>IF(OR($B$32="Fair Value",$B$32="Fair Value - U",$B$32="Fair Value - O"),"True","")</formula>
    </cfRule>
    <cfRule type="cellIs" dxfId="105"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671CE771-F9C2-3B4E-BC5A-8457341B4B2A}">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CFD50-950E-4AF0-B0E4-1E8080E4E42E}">
  <sheetPr codeName="ShBlank1">
    <pageSetUpPr fitToPage="1"/>
  </sheetPr>
  <dimension ref="A1:G34"/>
  <sheetViews>
    <sheetView showGridLines="0" zoomScale="183"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v>46112</v>
      </c>
      <c r="C7" s="2"/>
      <c r="D7" s="2"/>
      <c r="E7" s="2"/>
      <c r="F7" s="2"/>
      <c r="G7" s="1"/>
    </row>
    <row r="8" spans="1:7" ht="18" customHeight="1" x14ac:dyDescent="0.2">
      <c r="A8" s="6" t="s">
        <v>1</v>
      </c>
      <c r="B8" s="26" t="s">
        <v>30</v>
      </c>
      <c r="C8" s="2"/>
      <c r="D8" s="2"/>
      <c r="E8" s="2"/>
      <c r="F8" s="2"/>
      <c r="G8" s="1"/>
    </row>
    <row r="9" spans="1:7" ht="18" customHeight="1" x14ac:dyDescent="0.2">
      <c r="A9" s="6" t="s">
        <v>2</v>
      </c>
      <c r="B9" s="27">
        <v>1252.1600000000001</v>
      </c>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v>0.5514</v>
      </c>
      <c r="C12" s="44">
        <v>0.53190000000000004</v>
      </c>
      <c r="D12" s="44">
        <v>0.46610000000000001</v>
      </c>
      <c r="E12" s="44">
        <v>0.71230000000000004</v>
      </c>
      <c r="F12" s="44">
        <v>0.57310000000000005</v>
      </c>
      <c r="G12" s="1"/>
    </row>
    <row r="13" spans="1:7" ht="18" customHeight="1" x14ac:dyDescent="0.2">
      <c r="A13" s="6" t="s">
        <v>21</v>
      </c>
      <c r="B13" s="45">
        <v>0.26</v>
      </c>
      <c r="C13" s="45">
        <v>0.27</v>
      </c>
      <c r="D13" s="45">
        <v>0.32</v>
      </c>
      <c r="E13" s="45">
        <v>0.3</v>
      </c>
      <c r="F13" s="45">
        <v>0.45</v>
      </c>
      <c r="G13" s="1"/>
    </row>
    <row r="14" spans="1:7" ht="18" customHeight="1" x14ac:dyDescent="0.2">
      <c r="A14" s="6" t="s">
        <v>9</v>
      </c>
      <c r="B14" s="46">
        <v>0.1</v>
      </c>
      <c r="C14" s="8"/>
      <c r="D14" s="9"/>
      <c r="E14" s="9"/>
      <c r="F14" s="9"/>
      <c r="G14" s="1"/>
    </row>
    <row r="15" spans="1:7" ht="18" customHeight="1" x14ac:dyDescent="0.2">
      <c r="A15" s="6" t="s">
        <v>27</v>
      </c>
      <c r="B15" s="56">
        <v>22965</v>
      </c>
      <c r="C15" s="10"/>
      <c r="D15" s="2"/>
      <c r="E15" s="2"/>
      <c r="F15" s="2"/>
      <c r="G15" s="1"/>
    </row>
    <row r="16" spans="1:7" ht="18" customHeight="1" x14ac:dyDescent="0.2">
      <c r="A16" s="11" t="s">
        <v>26</v>
      </c>
      <c r="B16" s="57">
        <v>385.42</v>
      </c>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5N9daucETb7Jo9rDiUruNjVfA/M4Ik6AhC0m51BTYsP/R2RgPbFf27tpDLQqxcYYYDW+QwYqi2fpfIk1oUyamw==" saltValue="CEt6voF6vbSzpWnCfuLneA==" spinCount="100000" sheet="1" objects="1" scenarios="1" selectLockedCells="1"/>
  <protectedRanges>
    <protectedRange sqref="A1:E34 G1:G34 F1:F3 F5:F34" name="Blueprint"/>
  </protectedRanges>
  <conditionalFormatting sqref="B30:D30">
    <cfRule type="cellIs" dxfId="104" priority="1" operator="lessThan">
      <formula>0</formula>
    </cfRule>
    <cfRule type="cellIs" dxfId="103" priority="2" operator="greaterThan">
      <formula>0</formula>
    </cfRule>
  </conditionalFormatting>
  <conditionalFormatting sqref="B32">
    <cfRule type="cellIs" dxfId="102" priority="3" operator="equal">
      <formula>"Overvalued"</formula>
    </cfRule>
    <cfRule type="expression" dxfId="101" priority="4">
      <formula>IF(OR($B$32="Fair Value",$B$32="Fair Value - U",$B$32="Fair Value - O"),"True","")</formula>
    </cfRule>
    <cfRule type="cellIs" dxfId="100"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8D04165A-94F3-4D52-959C-46BF0BA1BDA1}">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CC497-7C46-4942-B924-D6B05518F282}">
  <sheetPr codeName="ShBlank11">
    <pageSetUpPr fitToPage="1"/>
  </sheetPr>
  <dimension ref="A1:G34"/>
  <sheetViews>
    <sheetView showGridLines="0" topLeftCell="A18" zoomScale="220"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v>46130</v>
      </c>
      <c r="C7" s="2"/>
      <c r="D7" s="2"/>
      <c r="E7" s="2"/>
      <c r="F7" s="2"/>
      <c r="G7" s="1"/>
    </row>
    <row r="8" spans="1:7" ht="18" customHeight="1" x14ac:dyDescent="0.2">
      <c r="A8" s="6" t="s">
        <v>1</v>
      </c>
      <c r="B8" s="26" t="s">
        <v>44</v>
      </c>
      <c r="C8" s="2"/>
      <c r="D8" s="2"/>
      <c r="E8" s="2"/>
      <c r="F8" s="2"/>
      <c r="G8" s="1"/>
    </row>
    <row r="9" spans="1:7" ht="18" customHeight="1" x14ac:dyDescent="0.2">
      <c r="A9" s="6" t="s">
        <v>2</v>
      </c>
      <c r="B9" s="27">
        <v>115.54</v>
      </c>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v>0.2147</v>
      </c>
      <c r="C12" s="44">
        <v>0.22259999999999999</v>
      </c>
      <c r="D12" s="44">
        <v>0.19309999999999999</v>
      </c>
      <c r="E12" s="44">
        <v>0.1573</v>
      </c>
      <c r="F12" s="44">
        <v>0.1593</v>
      </c>
      <c r="G12" s="1"/>
    </row>
    <row r="13" spans="1:7" ht="18" customHeight="1" x14ac:dyDescent="0.2">
      <c r="A13" s="6" t="s">
        <v>21</v>
      </c>
      <c r="B13" s="45">
        <v>0.309</v>
      </c>
      <c r="C13" s="45">
        <v>0.28839999999999999</v>
      </c>
      <c r="D13" s="45">
        <v>0.31490000000000001</v>
      </c>
      <c r="E13" s="45">
        <v>0.3775</v>
      </c>
      <c r="F13" s="45">
        <v>0.36620000000000003</v>
      </c>
      <c r="G13" s="1"/>
    </row>
    <row r="14" spans="1:7" ht="18" customHeight="1" x14ac:dyDescent="0.2">
      <c r="A14" s="6" t="s">
        <v>9</v>
      </c>
      <c r="B14" s="46">
        <v>0.1</v>
      </c>
      <c r="C14" s="8"/>
      <c r="D14" s="9"/>
      <c r="E14" s="9"/>
      <c r="F14" s="9"/>
      <c r="G14" s="1"/>
    </row>
    <row r="15" spans="1:7" ht="18" customHeight="1" x14ac:dyDescent="0.2">
      <c r="A15" s="6" t="s">
        <v>27</v>
      </c>
      <c r="B15" s="56">
        <v>713.29</v>
      </c>
      <c r="C15" s="10"/>
      <c r="D15" s="2"/>
      <c r="E15" s="2"/>
      <c r="F15" s="2"/>
      <c r="G15" s="1"/>
    </row>
    <row r="16" spans="1:7" ht="18" customHeight="1" x14ac:dyDescent="0.2">
      <c r="A16" s="11" t="s">
        <v>26</v>
      </c>
      <c r="B16" s="57">
        <v>29.57</v>
      </c>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PIQ5T30tasq2aLsofuAKCr2ujYXHuQyNjMvystU3xCP5TfTFESHe2tx/gJEGFf+kEGu/Yj1NSgPd9r91AEOavg==" saltValue="oMB8rdkojgJexvgn/SxDog==" spinCount="100000" sheet="1" objects="1" scenarios="1" selectLockedCells="1"/>
  <protectedRanges>
    <protectedRange sqref="A1:E34 G1:G34 F1:F3 F5:F34" name="Blueprint"/>
  </protectedRanges>
  <conditionalFormatting sqref="B30:D30">
    <cfRule type="cellIs" dxfId="99" priority="1" operator="lessThan">
      <formula>0</formula>
    </cfRule>
    <cfRule type="cellIs" dxfId="98" priority="2" operator="greaterThan">
      <formula>0</formula>
    </cfRule>
  </conditionalFormatting>
  <conditionalFormatting sqref="B32">
    <cfRule type="cellIs" dxfId="97" priority="3" operator="equal">
      <formula>"Overvalued"</formula>
    </cfRule>
    <cfRule type="expression" dxfId="96" priority="4">
      <formula>IF(OR($B$32="Fair Value",$B$32="Fair Value - U",$B$32="Fair Value - O"),"True","")</formula>
    </cfRule>
    <cfRule type="cellIs" dxfId="95"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806FD58E-4CF5-A241-B2B8-D5B84B921B77}">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110DB-3507-9245-AAE5-43037AEB9912}">
  <sheetPr codeName="ShBlank17">
    <pageSetUpPr fitToPage="1"/>
  </sheetPr>
  <dimension ref="A1:G34"/>
  <sheetViews>
    <sheetView showGridLines="0" topLeftCell="A16" zoomScale="229"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v>46139</v>
      </c>
      <c r="C7" s="2"/>
      <c r="D7" s="2"/>
      <c r="E7" s="2"/>
      <c r="F7" s="2"/>
      <c r="G7" s="1"/>
    </row>
    <row r="8" spans="1:7" ht="18" customHeight="1" x14ac:dyDescent="0.2">
      <c r="A8" s="6" t="s">
        <v>1</v>
      </c>
      <c r="B8" s="26" t="s">
        <v>47</v>
      </c>
      <c r="C8" s="2"/>
      <c r="D8" s="2"/>
      <c r="E8" s="2"/>
      <c r="F8" s="2"/>
      <c r="G8" s="1"/>
    </row>
    <row r="9" spans="1:7" ht="18" customHeight="1" x14ac:dyDescent="0.2">
      <c r="A9" s="6" t="s">
        <v>2</v>
      </c>
      <c r="B9" s="27">
        <v>178.36</v>
      </c>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v>0.25819999999999999</v>
      </c>
      <c r="C12" s="44">
        <v>0.26919999999999999</v>
      </c>
      <c r="D12" s="44">
        <v>0.28749999999999998</v>
      </c>
      <c r="E12" s="44">
        <v>0.33040000000000003</v>
      </c>
      <c r="F12" s="44">
        <v>0.32340000000000002</v>
      </c>
      <c r="G12" s="1"/>
    </row>
    <row r="13" spans="1:7" ht="18" customHeight="1" x14ac:dyDescent="0.2">
      <c r="A13" s="6" t="s">
        <v>21</v>
      </c>
      <c r="B13" s="45">
        <v>0.48709999999999998</v>
      </c>
      <c r="C13" s="45">
        <v>0.45119999999999999</v>
      </c>
      <c r="D13" s="45">
        <v>0.41589999999999999</v>
      </c>
      <c r="E13" s="45">
        <v>0.36230000000000001</v>
      </c>
      <c r="F13" s="45">
        <v>0.38450000000000001</v>
      </c>
      <c r="G13" s="1"/>
    </row>
    <row r="14" spans="1:7" ht="18" customHeight="1" x14ac:dyDescent="0.2">
      <c r="A14" s="6" t="s">
        <v>9</v>
      </c>
      <c r="B14" s="46">
        <v>0.1</v>
      </c>
      <c r="C14" s="8"/>
      <c r="D14" s="9"/>
      <c r="E14" s="9"/>
      <c r="F14" s="9"/>
      <c r="G14" s="1"/>
    </row>
    <row r="15" spans="1:7" ht="18" customHeight="1" x14ac:dyDescent="0.2">
      <c r="A15" s="6" t="s">
        <v>27</v>
      </c>
      <c r="B15" s="56">
        <v>32240</v>
      </c>
      <c r="C15" s="10"/>
      <c r="D15" s="2"/>
      <c r="E15" s="2"/>
      <c r="F15" s="2"/>
      <c r="G15" s="1"/>
    </row>
    <row r="16" spans="1:7" ht="18" customHeight="1" x14ac:dyDescent="0.2">
      <c r="A16" s="11" t="s">
        <v>26</v>
      </c>
      <c r="B16" s="57">
        <v>632.44000000000005</v>
      </c>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3+miMWAfBC1m3iDSghILixOat7y5j4FeyQv5fEvRr+1mdnMwj1DuhW8QnWLMcFOalSBdiYo3HPliMBX5tCRbow==" saltValue="kUGib/vFVHXP1fg7tO0esw==" spinCount="100000" sheet="1" objects="1" scenarios="1" selectLockedCells="1"/>
  <protectedRanges>
    <protectedRange sqref="A1:E34 G1:G34 F1:F3 F5:F34" name="Blueprint"/>
  </protectedRanges>
  <conditionalFormatting sqref="B30:D30">
    <cfRule type="cellIs" dxfId="94" priority="1" operator="lessThan">
      <formula>0</formula>
    </cfRule>
    <cfRule type="cellIs" dxfId="93" priority="2" operator="greaterThan">
      <formula>0</formula>
    </cfRule>
  </conditionalFormatting>
  <conditionalFormatting sqref="B32">
    <cfRule type="cellIs" dxfId="92" priority="3" operator="equal">
      <formula>"Overvalued"</formula>
    </cfRule>
    <cfRule type="expression" dxfId="91" priority="4">
      <formula>IF(OR($B$32="Fair Value",$B$32="Fair Value - U",$B$32="Fair Value - O"),"True","")</formula>
    </cfRule>
    <cfRule type="cellIs" dxfId="90"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06B75125-DDBE-EA43-B827-F92F83C1F0ED}">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BB9B5-C24B-C843-8B01-0F5A229D1791}">
  <sheetPr codeName="ShBlank9">
    <pageSetUpPr fitToPage="1"/>
  </sheetPr>
  <dimension ref="A1:G34"/>
  <sheetViews>
    <sheetView showGridLines="0" zoomScale="212"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v>46114</v>
      </c>
      <c r="C7" s="2"/>
      <c r="D7" s="2"/>
      <c r="E7" s="2"/>
      <c r="F7" s="2"/>
      <c r="G7" s="1"/>
    </row>
    <row r="8" spans="1:7" ht="18" customHeight="1" x14ac:dyDescent="0.2">
      <c r="A8" s="6" t="s">
        <v>1</v>
      </c>
      <c r="B8" s="26" t="s">
        <v>38</v>
      </c>
      <c r="C8" s="2"/>
      <c r="D8" s="2"/>
      <c r="E8" s="2"/>
      <c r="F8" s="2"/>
      <c r="G8" s="1"/>
    </row>
    <row r="9" spans="1:7" ht="18" customHeight="1" x14ac:dyDescent="0.2">
      <c r="A9" s="6" t="s">
        <v>2</v>
      </c>
      <c r="B9" s="27">
        <v>28.05</v>
      </c>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v>0.214</v>
      </c>
      <c r="C12" s="44">
        <v>0.187</v>
      </c>
      <c r="D12" s="44">
        <v>0.183</v>
      </c>
      <c r="E12" s="44">
        <v>5.5E-2</v>
      </c>
      <c r="F12" s="44">
        <v>0.14499999999999999</v>
      </c>
      <c r="G12" s="1"/>
    </row>
    <row r="13" spans="1:7" ht="18" customHeight="1" x14ac:dyDescent="0.2">
      <c r="A13" s="6" t="s">
        <v>21</v>
      </c>
      <c r="B13" s="45">
        <v>0.33</v>
      </c>
      <c r="C13" s="45">
        <v>0.96</v>
      </c>
      <c r="D13" s="45">
        <v>0.31</v>
      </c>
      <c r="E13" s="45">
        <v>0.3</v>
      </c>
      <c r="F13" s="45">
        <v>0.24</v>
      </c>
      <c r="G13" s="1"/>
    </row>
    <row r="14" spans="1:7" ht="18" customHeight="1" x14ac:dyDescent="0.2">
      <c r="A14" s="6" t="s">
        <v>9</v>
      </c>
      <c r="B14" s="46">
        <v>0.1</v>
      </c>
      <c r="C14" s="8"/>
      <c r="D14" s="9"/>
      <c r="E14" s="9"/>
      <c r="F14" s="9"/>
      <c r="G14" s="1"/>
    </row>
    <row r="15" spans="1:7" ht="18" customHeight="1" x14ac:dyDescent="0.2">
      <c r="A15" s="6" t="s">
        <v>27</v>
      </c>
      <c r="B15" s="56">
        <v>96904</v>
      </c>
      <c r="C15" s="10"/>
      <c r="D15" s="2"/>
      <c r="E15" s="2"/>
      <c r="F15" s="2"/>
      <c r="G15" s="1"/>
    </row>
    <row r="16" spans="1:7" ht="18" customHeight="1" x14ac:dyDescent="0.2">
      <c r="A16" s="11" t="s">
        <v>26</v>
      </c>
      <c r="B16" s="57">
        <v>3598</v>
      </c>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3yAHngp71vlkC+qzYFB7RMIKmWMokbC8du1MA/Dm9MF8isJ7lCxjoVWHMucQ7KFsSNZ0ZF8z87LGvJy7tqfnyw==" saltValue="+MJDmP6dKFg0Yta+snP3Xg==" spinCount="100000" sheet="1" objects="1" scenarios="1" selectLockedCells="1"/>
  <protectedRanges>
    <protectedRange sqref="A1:E34 G1:G34 F1:F3 F5:F34" name="Blueprint"/>
  </protectedRanges>
  <conditionalFormatting sqref="B30:D30">
    <cfRule type="cellIs" dxfId="89" priority="1" operator="lessThan">
      <formula>0</formula>
    </cfRule>
    <cfRule type="cellIs" dxfId="88" priority="2" operator="greaterThan">
      <formula>0</formula>
    </cfRule>
  </conditionalFormatting>
  <conditionalFormatting sqref="B32">
    <cfRule type="cellIs" dxfId="87" priority="3" operator="equal">
      <formula>"Overvalued"</formula>
    </cfRule>
    <cfRule type="expression" dxfId="86" priority="4">
      <formula>IF(OR($B$32="Fair Value",$B$32="Fair Value - U",$B$32="Fair Value - O"),"True","")</formula>
    </cfRule>
    <cfRule type="cellIs" dxfId="85"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219BF663-9C34-D84E-B5E4-5E50ED7C1BE6}">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1907-CA3C-4202-89F2-A51EF88EF6A2}">
  <sheetPr codeName="ShBlank2">
    <pageSetUpPr fitToPage="1"/>
  </sheetPr>
  <dimension ref="A1:G34"/>
  <sheetViews>
    <sheetView showGridLines="0" zoomScale="136"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v>46112</v>
      </c>
      <c r="C7" s="2"/>
      <c r="D7" s="2"/>
      <c r="E7" s="2"/>
      <c r="F7" s="2"/>
      <c r="G7" s="1"/>
    </row>
    <row r="8" spans="1:7" ht="18" customHeight="1" x14ac:dyDescent="0.2">
      <c r="A8" s="6" t="s">
        <v>1</v>
      </c>
      <c r="B8" s="26" t="s">
        <v>31</v>
      </c>
      <c r="C8" s="2"/>
      <c r="D8" s="2"/>
      <c r="E8" s="2"/>
      <c r="F8" s="2"/>
      <c r="G8" s="1"/>
    </row>
    <row r="9" spans="1:7" ht="18" customHeight="1" x14ac:dyDescent="0.2">
      <c r="A9" s="6" t="s">
        <v>2</v>
      </c>
      <c r="B9" s="27">
        <v>996.58</v>
      </c>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v>0.29630000000000001</v>
      </c>
      <c r="C12" s="44">
        <v>0.30690000000000001</v>
      </c>
      <c r="D12" s="44">
        <v>0.30270000000000002</v>
      </c>
      <c r="E12" s="44">
        <v>0.27539999999999998</v>
      </c>
      <c r="F12" s="44">
        <v>0.30590000000000001</v>
      </c>
      <c r="G12" s="1"/>
    </row>
    <row r="13" spans="1:7" ht="18" customHeight="1" x14ac:dyDescent="0.2">
      <c r="A13" s="6" t="s">
        <v>21</v>
      </c>
      <c r="B13" s="45">
        <v>0.27</v>
      </c>
      <c r="C13" s="45">
        <v>0.27</v>
      </c>
      <c r="D13" s="45">
        <v>0.26</v>
      </c>
      <c r="E13" s="45">
        <v>0.27</v>
      </c>
      <c r="F13" s="45">
        <v>0.26</v>
      </c>
      <c r="G13" s="1"/>
    </row>
    <row r="14" spans="1:7" ht="18" customHeight="1" x14ac:dyDescent="0.2">
      <c r="A14" s="6" t="s">
        <v>9</v>
      </c>
      <c r="B14" s="46">
        <v>0.1</v>
      </c>
      <c r="C14" s="8"/>
      <c r="D14" s="9"/>
      <c r="E14" s="9"/>
      <c r="F14" s="9"/>
      <c r="G14" s="1"/>
    </row>
    <row r="15" spans="1:7" ht="18" customHeight="1" x14ac:dyDescent="0.2">
      <c r="A15" s="6" t="s">
        <v>27</v>
      </c>
      <c r="B15" s="56">
        <v>32087</v>
      </c>
      <c r="C15" s="10"/>
      <c r="D15" s="2"/>
      <c r="E15" s="2"/>
      <c r="F15" s="2"/>
      <c r="G15" s="1"/>
    </row>
    <row r="16" spans="1:7" ht="18" customHeight="1" x14ac:dyDescent="0.2">
      <c r="A16" s="11" t="s">
        <v>26</v>
      </c>
      <c r="B16" s="57">
        <v>443.9</v>
      </c>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pGjsdDO58wd/gB1vQ28AFdywxM7lxz5PcIvvoyIWpAx89RyuGOwn+RKVEauGugmdj85s+xqafFeCy8Ck3U2Uvg==" saltValue="/ka6zHZqlmpvcuDMTVwb1g==" spinCount="100000" sheet="1" objects="1" scenarios="1" selectLockedCells="1"/>
  <protectedRanges>
    <protectedRange sqref="A1:E34 G1:G34 F1:F3 F5:F34" name="Blueprint"/>
  </protectedRanges>
  <conditionalFormatting sqref="B30:D30">
    <cfRule type="cellIs" dxfId="84" priority="1" operator="lessThan">
      <formula>0</formula>
    </cfRule>
    <cfRule type="cellIs" dxfId="83" priority="2" operator="greaterThan">
      <formula>0</formula>
    </cfRule>
  </conditionalFormatting>
  <conditionalFormatting sqref="B32">
    <cfRule type="cellIs" dxfId="82" priority="3" operator="equal">
      <formula>"Overvalued"</formula>
    </cfRule>
    <cfRule type="expression" dxfId="81" priority="4">
      <formula>IF(OR($B$32="Fair Value",$B$32="Fair Value - U",$B$32="Fair Value - O"),"True","")</formula>
    </cfRule>
    <cfRule type="cellIs" dxfId="80"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B99FE2CF-BE35-44B1-8DCA-FF16C35D6157}">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19DDB-4862-5E47-B6ED-04B7B5A0AB83}">
  <sheetPr codeName="ShBlank15">
    <pageSetUpPr fitToPage="1"/>
  </sheetPr>
  <dimension ref="A1:G34"/>
  <sheetViews>
    <sheetView showGridLines="0" zoomScale="110"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v>46125</v>
      </c>
      <c r="C7" s="2"/>
      <c r="D7" s="2"/>
      <c r="E7" s="2"/>
      <c r="F7" s="2"/>
      <c r="G7" s="1"/>
    </row>
    <row r="8" spans="1:7" ht="18" customHeight="1" x14ac:dyDescent="0.2">
      <c r="A8" s="6" t="s">
        <v>1</v>
      </c>
      <c r="B8" s="26" t="s">
        <v>42</v>
      </c>
      <c r="C8" s="2"/>
      <c r="D8" s="2"/>
      <c r="E8" s="2"/>
      <c r="F8" s="2"/>
      <c r="G8" s="1"/>
    </row>
    <row r="9" spans="1:7" ht="18" customHeight="1" x14ac:dyDescent="0.2">
      <c r="A9" s="6" t="s">
        <v>2</v>
      </c>
      <c r="B9" s="27">
        <v>57.92</v>
      </c>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v>0.152</v>
      </c>
      <c r="C12" s="44">
        <v>0.16200000000000001</v>
      </c>
      <c r="D12" s="44">
        <v>0.16700000000000001</v>
      </c>
      <c r="E12" s="44">
        <v>0.188</v>
      </c>
      <c r="F12" s="44">
        <v>0.187</v>
      </c>
      <c r="G12" s="1"/>
    </row>
    <row r="13" spans="1:7" ht="18" customHeight="1" x14ac:dyDescent="0.2">
      <c r="A13" s="6" t="s">
        <v>21</v>
      </c>
      <c r="B13" s="45">
        <v>0.27400000000000002</v>
      </c>
      <c r="C13" s="45">
        <v>0.26800000000000002</v>
      </c>
      <c r="D13" s="45">
        <v>0.27800000000000002</v>
      </c>
      <c r="E13" s="45">
        <v>0.246</v>
      </c>
      <c r="F13" s="45">
        <v>0.23799999999999999</v>
      </c>
      <c r="G13" s="1"/>
    </row>
    <row r="14" spans="1:7" ht="18" customHeight="1" x14ac:dyDescent="0.2">
      <c r="A14" s="6" t="s">
        <v>9</v>
      </c>
      <c r="B14" s="46">
        <v>0.1</v>
      </c>
      <c r="C14" s="8"/>
      <c r="D14" s="9"/>
      <c r="E14" s="9"/>
      <c r="F14" s="9"/>
      <c r="G14" s="1"/>
    </row>
    <row r="15" spans="1:7" ht="18" customHeight="1" x14ac:dyDescent="0.2">
      <c r="A15" s="6" t="s">
        <v>27</v>
      </c>
      <c r="B15" s="56">
        <v>15015</v>
      </c>
      <c r="C15" s="10"/>
      <c r="D15" s="2"/>
      <c r="E15" s="2"/>
      <c r="F15" s="2"/>
      <c r="G15" s="1"/>
    </row>
    <row r="16" spans="1:7" ht="18" customHeight="1" x14ac:dyDescent="0.2">
      <c r="A16" s="11" t="s">
        <v>26</v>
      </c>
      <c r="B16" s="57">
        <v>478.75</v>
      </c>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t4Ns5OIM1RVWZoVNkz50MbXLhq8QTFxfrbN3n7LJFZwC8VSCQY1Q4h50YHSoEU4g1e+Y6pjHmMzKZSGn3s+YA==" saltValue="5O8jFDZd7vUpJ2V9IiBo8g==" spinCount="100000" sheet="1" objects="1" scenarios="1" selectLockedCells="1"/>
  <protectedRanges>
    <protectedRange sqref="A1:E34 G1:G34 F1:F3 F5:F34" name="Blueprint"/>
  </protectedRanges>
  <conditionalFormatting sqref="B30:D30">
    <cfRule type="cellIs" dxfId="79" priority="1" operator="lessThan">
      <formula>0</formula>
    </cfRule>
    <cfRule type="cellIs" dxfId="78" priority="2" operator="greaterThan">
      <formula>0</formula>
    </cfRule>
  </conditionalFormatting>
  <conditionalFormatting sqref="B32">
    <cfRule type="cellIs" dxfId="77" priority="3" operator="equal">
      <formula>"Overvalued"</formula>
    </cfRule>
    <cfRule type="expression" dxfId="76" priority="4">
      <formula>IF(OR($B$32="Fair Value",$B$32="Fair Value - U",$B$32="Fair Value - O"),"True","")</formula>
    </cfRule>
    <cfRule type="cellIs" dxfId="75"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AB2F3991-D4D9-F248-95CE-D21823508034}">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AFC56-D772-A54E-9178-8FDAF8175E53}">
  <sheetPr codeName="ShBlank26">
    <pageSetUpPr fitToPage="1"/>
  </sheetPr>
  <dimension ref="A1:G34"/>
  <sheetViews>
    <sheetView showGridLines="0" topLeftCell="A19" zoomScale="216"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v>46139</v>
      </c>
      <c r="C7" s="2"/>
      <c r="D7" s="2"/>
      <c r="E7" s="2"/>
      <c r="F7" s="2"/>
      <c r="G7" s="1"/>
    </row>
    <row r="8" spans="1:7" ht="18" customHeight="1" x14ac:dyDescent="0.2">
      <c r="A8" s="6" t="s">
        <v>1</v>
      </c>
      <c r="B8" s="26" t="s">
        <v>51</v>
      </c>
      <c r="C8" s="2"/>
      <c r="D8" s="2"/>
      <c r="E8" s="2"/>
      <c r="F8" s="2"/>
      <c r="G8" s="1"/>
    </row>
    <row r="9" spans="1:7" ht="18" customHeight="1" x14ac:dyDescent="0.2">
      <c r="A9" s="6" t="s">
        <v>2</v>
      </c>
      <c r="B9" s="27">
        <v>81.56</v>
      </c>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v>0.19919999999999999</v>
      </c>
      <c r="C12" s="44">
        <v>0.20219999999999999</v>
      </c>
      <c r="D12" s="44">
        <v>0.24809999999999999</v>
      </c>
      <c r="E12" s="44">
        <v>0.2581</v>
      </c>
      <c r="F12" s="44">
        <v>0.29389999999999999</v>
      </c>
      <c r="G12" s="1"/>
    </row>
    <row r="13" spans="1:7" ht="18" customHeight="1" x14ac:dyDescent="0.2">
      <c r="A13" s="6" t="s">
        <v>21</v>
      </c>
      <c r="B13" s="45">
        <v>0.36</v>
      </c>
      <c r="C13" s="45">
        <v>0.37</v>
      </c>
      <c r="D13" s="45">
        <v>0.32</v>
      </c>
      <c r="E13" s="45">
        <v>0.31</v>
      </c>
      <c r="F13" s="45">
        <v>0.37</v>
      </c>
      <c r="G13" s="1"/>
    </row>
    <row r="14" spans="1:7" ht="18" customHeight="1" x14ac:dyDescent="0.2">
      <c r="A14" s="6" t="s">
        <v>9</v>
      </c>
      <c r="B14" s="46">
        <v>0.1</v>
      </c>
      <c r="C14" s="8"/>
      <c r="D14" s="9"/>
      <c r="E14" s="9"/>
      <c r="F14" s="9"/>
      <c r="G14" s="1"/>
    </row>
    <row r="15" spans="1:7" ht="18" customHeight="1" x14ac:dyDescent="0.2">
      <c r="A15" s="6" t="s">
        <v>27</v>
      </c>
      <c r="B15" s="56">
        <v>2650</v>
      </c>
      <c r="C15" s="10"/>
      <c r="D15" s="2"/>
      <c r="E15" s="2"/>
      <c r="F15" s="2"/>
      <c r="G15" s="1"/>
    </row>
    <row r="16" spans="1:7" ht="18" customHeight="1" x14ac:dyDescent="0.2">
      <c r="A16" s="11" t="s">
        <v>26</v>
      </c>
      <c r="B16" s="57">
        <v>169.22</v>
      </c>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wkuwMQ0J7aPW2QZE/5Of/u7cBh3z3Qf74+HQee+LWZ1YSn7rReGwWToRJ2uL1Tp5ggH54UidHnF4EbKFpDRQaw==" saltValue="X11rHrgwr7ZPj4svwhB31g==" spinCount="100000" sheet="1" objects="1" scenarios="1" selectLockedCells="1"/>
  <protectedRanges>
    <protectedRange sqref="A1:E34 G1:G34 F1:F3 F5:F34" name="Blueprint"/>
  </protectedRanges>
  <conditionalFormatting sqref="B30:D30">
    <cfRule type="cellIs" dxfId="74" priority="1" operator="lessThan">
      <formula>0</formula>
    </cfRule>
    <cfRule type="cellIs" dxfId="73" priority="2" operator="greaterThan">
      <formula>0</formula>
    </cfRule>
  </conditionalFormatting>
  <conditionalFormatting sqref="B32">
    <cfRule type="cellIs" dxfId="72" priority="3" operator="equal">
      <formula>"Overvalued"</formula>
    </cfRule>
    <cfRule type="expression" dxfId="71" priority="4">
      <formula>IF(OR($B$32="Fair Value",$B$32="Fair Value - U",$B$32="Fair Value - O"),"True","")</formula>
    </cfRule>
    <cfRule type="cellIs" dxfId="70"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AAE016B9-9311-7447-B168-1438BA8246B2}">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52630-BD32-2B40-AE58-38214B5D472D}">
  <sheetPr codeName="ShBlank16">
    <pageSetUpPr fitToPage="1"/>
  </sheetPr>
  <dimension ref="A1:G34"/>
  <sheetViews>
    <sheetView showGridLines="0" zoomScale="110"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v>46125</v>
      </c>
      <c r="C7" s="2"/>
      <c r="D7" s="2"/>
      <c r="E7" s="2"/>
      <c r="F7" s="2"/>
      <c r="G7" s="1"/>
    </row>
    <row r="8" spans="1:7" ht="18" customHeight="1" x14ac:dyDescent="0.2">
      <c r="A8" s="6" t="s">
        <v>1</v>
      </c>
      <c r="B8" s="26" t="s">
        <v>41</v>
      </c>
      <c r="C8" s="2"/>
      <c r="D8" s="2"/>
      <c r="E8" s="2"/>
      <c r="F8" s="2"/>
      <c r="G8" s="1"/>
    </row>
    <row r="9" spans="1:7" ht="18" customHeight="1" x14ac:dyDescent="0.2">
      <c r="A9" s="6" t="s">
        <v>2</v>
      </c>
      <c r="B9" s="27">
        <v>35.590000000000003</v>
      </c>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v>0.246</v>
      </c>
      <c r="C12" s="44">
        <v>0.248</v>
      </c>
      <c r="D12" s="44">
        <v>0.24299999999999999</v>
      </c>
      <c r="E12" s="44">
        <v>0.25800000000000001</v>
      </c>
      <c r="F12" s="44">
        <v>0.24299999999999999</v>
      </c>
      <c r="G12" s="1"/>
    </row>
    <row r="13" spans="1:7" ht="18" customHeight="1" x14ac:dyDescent="0.2">
      <c r="A13" s="6" t="s">
        <v>21</v>
      </c>
      <c r="B13" s="45">
        <v>0.57699999999999996</v>
      </c>
      <c r="C13" s="45">
        <v>0.54600000000000004</v>
      </c>
      <c r="D13" s="45">
        <v>0.49399999999999999</v>
      </c>
      <c r="E13" s="45">
        <v>0.45500000000000002</v>
      </c>
      <c r="F13" s="45">
        <v>0.53100000000000003</v>
      </c>
      <c r="G13" s="1"/>
    </row>
    <row r="14" spans="1:7" ht="18" customHeight="1" x14ac:dyDescent="0.2">
      <c r="A14" s="6" t="s">
        <v>9</v>
      </c>
      <c r="B14" s="46">
        <v>0.1</v>
      </c>
      <c r="C14" s="8"/>
      <c r="D14" s="9"/>
      <c r="E14" s="9"/>
      <c r="F14" s="9"/>
      <c r="G14" s="1"/>
    </row>
    <row r="15" spans="1:7" ht="18" customHeight="1" x14ac:dyDescent="0.2">
      <c r="A15" s="6" t="s">
        <v>27</v>
      </c>
      <c r="B15" s="56">
        <v>9357</v>
      </c>
      <c r="C15" s="10"/>
      <c r="D15" s="2"/>
      <c r="E15" s="2"/>
      <c r="F15" s="2"/>
      <c r="G15" s="1"/>
    </row>
    <row r="16" spans="1:7" ht="18" customHeight="1" x14ac:dyDescent="0.2">
      <c r="A16" s="11" t="s">
        <v>26</v>
      </c>
      <c r="B16" s="57">
        <v>533.67999999999995</v>
      </c>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553i60JEEjB6LIBNO2F13pRnbMDExTQpyb/rjtwgutiN3lGfAFbp6wBK3H1AxrYQyItJU/u3GNqdt/RmjR/pgQ==" saltValue="jq22YKr4FAliteB4+PvaRw==" spinCount="100000" sheet="1" objects="1" scenarios="1" selectLockedCells="1"/>
  <protectedRanges>
    <protectedRange sqref="A1:E34 G1:G34 F1:F3 F5:F34" name="Blueprint"/>
  </protectedRanges>
  <conditionalFormatting sqref="B30:D30">
    <cfRule type="cellIs" dxfId="69" priority="1" operator="lessThan">
      <formula>0</formula>
    </cfRule>
    <cfRule type="cellIs" dxfId="68" priority="2" operator="greaterThan">
      <formula>0</formula>
    </cfRule>
  </conditionalFormatting>
  <conditionalFormatting sqref="B32">
    <cfRule type="cellIs" dxfId="67" priority="3" operator="equal">
      <formula>"Overvalued"</formula>
    </cfRule>
    <cfRule type="expression" dxfId="66" priority="4">
      <formula>IF(OR($B$32="Fair Value",$B$32="Fair Value - U",$B$32="Fair Value - O"),"True","")</formula>
    </cfRule>
    <cfRule type="cellIs" dxfId="65"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78A67EF3-2DA3-764B-994E-347933AF6590}">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37856-FEA0-4F0F-A588-6CA9B646DA4F}">
  <sheetPr codeName="ShBlank3">
    <pageSetUpPr fitToPage="1"/>
  </sheetPr>
  <dimension ref="A1:G34"/>
  <sheetViews>
    <sheetView showGridLines="0" topLeftCell="A8" zoomScale="186"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v>46115</v>
      </c>
      <c r="C7" s="2"/>
      <c r="D7" s="2"/>
      <c r="E7" s="2"/>
      <c r="F7" s="2"/>
      <c r="G7" s="1"/>
    </row>
    <row r="8" spans="1:7" ht="18" customHeight="1" x14ac:dyDescent="0.2">
      <c r="A8" s="6" t="s">
        <v>1</v>
      </c>
      <c r="B8" s="26" t="s">
        <v>32</v>
      </c>
      <c r="C8" s="2"/>
      <c r="D8" s="2"/>
      <c r="E8" s="2"/>
      <c r="F8" s="2"/>
      <c r="G8" s="1"/>
    </row>
    <row r="9" spans="1:7" ht="18" customHeight="1" x14ac:dyDescent="0.2">
      <c r="A9" s="6" t="s">
        <v>2</v>
      </c>
      <c r="B9" s="27">
        <v>296.5</v>
      </c>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v>0.36009999999999998</v>
      </c>
      <c r="C12" s="44">
        <v>0.35699999999999998</v>
      </c>
      <c r="D12" s="44">
        <v>0.3291</v>
      </c>
      <c r="E12" s="44">
        <v>0.27360000000000001</v>
      </c>
      <c r="F12" s="44">
        <v>0.23619999999999999</v>
      </c>
      <c r="G12" s="1"/>
    </row>
    <row r="13" spans="1:7" ht="18" customHeight="1" x14ac:dyDescent="0.2">
      <c r="A13" s="6" t="s">
        <v>21</v>
      </c>
      <c r="B13" s="45">
        <v>0.09</v>
      </c>
      <c r="C13" s="45">
        <v>0.09</v>
      </c>
      <c r="D13" s="45">
        <v>0.08</v>
      </c>
      <c r="E13" s="45">
        <v>0</v>
      </c>
      <c r="F13" s="45">
        <v>0</v>
      </c>
      <c r="G13" s="1"/>
    </row>
    <row r="14" spans="1:7" ht="18" customHeight="1" x14ac:dyDescent="0.2">
      <c r="A14" s="6" t="s">
        <v>9</v>
      </c>
      <c r="B14" s="46">
        <v>0.1</v>
      </c>
      <c r="C14" s="8"/>
      <c r="D14" s="9"/>
      <c r="E14" s="9"/>
      <c r="F14" s="9"/>
      <c r="G14" s="1"/>
    </row>
    <row r="15" spans="1:7" ht="18" customHeight="1" x14ac:dyDescent="0.2">
      <c r="A15" s="6" t="s">
        <v>27</v>
      </c>
      <c r="B15" s="56">
        <v>415265</v>
      </c>
      <c r="C15" s="10"/>
      <c r="D15" s="2"/>
      <c r="E15" s="2"/>
      <c r="F15" s="2"/>
      <c r="G15" s="1"/>
    </row>
    <row r="16" spans="1:7" ht="18" customHeight="1" x14ac:dyDescent="0.2">
      <c r="A16" s="11" t="s">
        <v>26</v>
      </c>
      <c r="B16" s="57">
        <v>12230</v>
      </c>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8MdICUSyyK7fEf6DzGIjc+n+y2I6HxDimS1zUWWhps9gXVYKg9ApD/eAofG8OAynSnWt6PPixmbXOOd6aICqhg==" saltValue="fC7snS36sRf9vGHFOisn4w==" spinCount="100000" sheet="1" objects="1" scenarios="1" selectLockedCells="1"/>
  <protectedRanges>
    <protectedRange sqref="A1:E34 G1:G34 F1:F3 F5:F34" name="Blueprint"/>
  </protectedRanges>
  <conditionalFormatting sqref="B30:D30">
    <cfRule type="cellIs" dxfId="64" priority="1" operator="lessThan">
      <formula>0</formula>
    </cfRule>
    <cfRule type="cellIs" dxfId="63" priority="2" operator="greaterThan">
      <formula>0</formula>
    </cfRule>
  </conditionalFormatting>
  <conditionalFormatting sqref="B32">
    <cfRule type="cellIs" dxfId="62" priority="3" operator="equal">
      <formula>"Overvalued"</formula>
    </cfRule>
    <cfRule type="expression" dxfId="61" priority="4">
      <formula>IF(OR($B$32="Fair Value",$B$32="Fair Value - U",$B$32="Fair Value - O"),"True","")</formula>
    </cfRule>
    <cfRule type="cellIs" dxfId="60"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4327B2FC-D48D-4C0A-B1B2-E3087117B43F}">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F08E4-CEEB-4450-AEFF-A311BDEF14D8}">
  <sheetPr codeName="ShBlank4">
    <pageSetUpPr fitToPage="1"/>
  </sheetPr>
  <dimension ref="A1:G34"/>
  <sheetViews>
    <sheetView showGridLines="0" topLeftCell="A9" zoomScale="150"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v>46114</v>
      </c>
      <c r="C7" s="2"/>
      <c r="D7" s="2"/>
      <c r="E7" s="2"/>
      <c r="F7" s="2"/>
      <c r="G7" s="1"/>
    </row>
    <row r="8" spans="1:7" ht="18" customHeight="1" x14ac:dyDescent="0.2">
      <c r="A8" s="6" t="s">
        <v>1</v>
      </c>
      <c r="B8" s="26" t="s">
        <v>33</v>
      </c>
      <c r="C8" s="2"/>
      <c r="D8" s="2"/>
      <c r="E8" s="2"/>
      <c r="F8" s="2"/>
      <c r="G8" s="1"/>
    </row>
    <row r="9" spans="1:7" ht="18" customHeight="1" x14ac:dyDescent="0.2">
      <c r="A9" s="6" t="s">
        <v>2</v>
      </c>
      <c r="B9" s="27">
        <v>273.58</v>
      </c>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v>0.19800000000000001</v>
      </c>
      <c r="C12" s="44">
        <v>0.19</v>
      </c>
      <c r="D12" s="44">
        <v>0.19500000000000001</v>
      </c>
      <c r="E12" s="44">
        <v>0.158</v>
      </c>
      <c r="F12" s="44">
        <v>0.186</v>
      </c>
      <c r="G12" s="1"/>
    </row>
    <row r="13" spans="1:7" ht="18" customHeight="1" x14ac:dyDescent="0.2">
      <c r="A13" s="6" t="s">
        <v>21</v>
      </c>
      <c r="B13" s="45">
        <v>0.45</v>
      </c>
      <c r="C13" s="45">
        <v>0.7</v>
      </c>
      <c r="D13" s="45">
        <v>0.43</v>
      </c>
      <c r="E13" s="45">
        <v>0.41</v>
      </c>
      <c r="F13" s="45">
        <v>0.4</v>
      </c>
      <c r="G13" s="1"/>
    </row>
    <row r="14" spans="1:7" ht="18" customHeight="1" x14ac:dyDescent="0.2">
      <c r="A14" s="6" t="s">
        <v>9</v>
      </c>
      <c r="B14" s="46">
        <v>0.1</v>
      </c>
      <c r="C14" s="8"/>
      <c r="D14" s="9"/>
      <c r="E14" s="9"/>
      <c r="F14" s="9"/>
      <c r="G14" s="1"/>
    </row>
    <row r="15" spans="1:7" ht="18" customHeight="1" x14ac:dyDescent="0.2">
      <c r="A15" s="6" t="s">
        <v>27</v>
      </c>
      <c r="B15" s="56">
        <v>8972.56</v>
      </c>
      <c r="C15" s="10"/>
      <c r="D15" s="2"/>
      <c r="E15" s="2"/>
      <c r="F15" s="2"/>
      <c r="G15" s="1"/>
    </row>
    <row r="16" spans="1:7" ht="18" customHeight="1" x14ac:dyDescent="0.2">
      <c r="A16" s="11" t="s">
        <v>26</v>
      </c>
      <c r="B16" s="57">
        <v>192.48</v>
      </c>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dF0/N/FnbsVe6XW3JXcWAXX8tBWGb3Ls+gCNcdVUqSgkhBBK0ScW8Y25xkipQnVAI7EGQqPq866qksh8eqD/zQ==" saltValue="p2aBvTFACbKYoaQU3GRl6g==" spinCount="100000" sheet="1" objects="1" scenarios="1" selectLockedCells="1"/>
  <protectedRanges>
    <protectedRange sqref="A1:E34 G1:G34 F1:F3 F5:F34" name="Blueprint"/>
  </protectedRanges>
  <conditionalFormatting sqref="B30:D30">
    <cfRule type="cellIs" dxfId="59" priority="1" operator="lessThan">
      <formula>0</formula>
    </cfRule>
    <cfRule type="cellIs" dxfId="58" priority="2" operator="greaterThan">
      <formula>0</formula>
    </cfRule>
  </conditionalFormatting>
  <conditionalFormatting sqref="B32">
    <cfRule type="cellIs" dxfId="57" priority="3" operator="equal">
      <formula>"Overvalued"</formula>
    </cfRule>
    <cfRule type="expression" dxfId="56" priority="4">
      <formula>IF(OR($B$32="Fair Value",$B$32="Fair Value - U",$B$32="Fair Value - O"),"True","")</formula>
    </cfRule>
    <cfRule type="cellIs" dxfId="55"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4679DF34-23F8-4888-B5C8-B0C1CBDA29CA}">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1DAE9-905F-6748-AFC7-0D66563A9E76}">
  <sheetPr codeName="ShBlank19">
    <pageSetUpPr fitToPage="1"/>
  </sheetPr>
  <dimension ref="A1:G34"/>
  <sheetViews>
    <sheetView showGridLines="0" zoomScale="187"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v>46139</v>
      </c>
      <c r="C7" s="2"/>
      <c r="D7" s="2"/>
      <c r="E7" s="2"/>
      <c r="F7" s="2"/>
      <c r="G7" s="1"/>
    </row>
    <row r="8" spans="1:7" ht="18" customHeight="1" x14ac:dyDescent="0.2">
      <c r="A8" s="6" t="s">
        <v>1</v>
      </c>
      <c r="B8" s="26" t="s">
        <v>49</v>
      </c>
      <c r="C8" s="2"/>
      <c r="D8" s="2"/>
      <c r="E8" s="2"/>
      <c r="F8" s="2"/>
      <c r="G8" s="1"/>
    </row>
    <row r="9" spans="1:7" ht="18" customHeight="1" x14ac:dyDescent="0.2">
      <c r="A9" s="6" t="s">
        <v>2</v>
      </c>
      <c r="B9" s="27">
        <v>12.26</v>
      </c>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v>0.31690000000000002</v>
      </c>
      <c r="C12" s="44">
        <v>0.31730000000000003</v>
      </c>
      <c r="D12" s="44">
        <v>0.29020000000000001</v>
      </c>
      <c r="E12" s="44">
        <v>0.32100000000000001</v>
      </c>
      <c r="F12" s="44">
        <v>0.31369999999999998</v>
      </c>
      <c r="G12" s="1"/>
    </row>
    <row r="13" spans="1:7" ht="18" customHeight="1" x14ac:dyDescent="0.2">
      <c r="A13" s="6" t="s">
        <v>21</v>
      </c>
      <c r="B13" s="45">
        <v>0.56379999999999997</v>
      </c>
      <c r="C13" s="45">
        <v>0.5</v>
      </c>
      <c r="D13" s="45">
        <v>0.48680000000000001</v>
      </c>
      <c r="E13" s="45">
        <v>0.48</v>
      </c>
      <c r="F13" s="45">
        <v>0.49</v>
      </c>
      <c r="G13" s="1"/>
    </row>
    <row r="14" spans="1:7" ht="18" customHeight="1" x14ac:dyDescent="0.2">
      <c r="A14" s="6" t="s">
        <v>9</v>
      </c>
      <c r="B14" s="46">
        <v>0.1</v>
      </c>
      <c r="C14" s="8"/>
      <c r="D14" s="9"/>
      <c r="E14" s="9"/>
      <c r="F14" s="9"/>
      <c r="G14" s="1"/>
    </row>
    <row r="15" spans="1:7" ht="18" customHeight="1" x14ac:dyDescent="0.2">
      <c r="A15" s="6" t="s">
        <v>27</v>
      </c>
      <c r="B15" s="56">
        <v>9840</v>
      </c>
      <c r="C15" s="10"/>
      <c r="D15" s="2"/>
      <c r="E15" s="2"/>
      <c r="F15" s="2"/>
      <c r="G15" s="1"/>
    </row>
    <row r="16" spans="1:7" ht="18" customHeight="1" x14ac:dyDescent="0.2">
      <c r="A16" s="11" t="s">
        <v>26</v>
      </c>
      <c r="B16" s="57">
        <v>4050</v>
      </c>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oS1yh7QzfLIkWwEkOpCyJQYHTW6arpOBjHe14Tudg38DgS9eRVhuapYhZgOpLIi54KORy4nly2iplxdZnymTLw==" saltValue="/jRwJBe8oE0LI5HCpWVKsQ==" spinCount="100000" sheet="1" objects="1" scenarios="1" selectLockedCells="1"/>
  <protectedRanges>
    <protectedRange sqref="A1:E34 G1:G34 F1:F3 F5:F34" name="Blueprint"/>
  </protectedRanges>
  <conditionalFormatting sqref="B30:D30">
    <cfRule type="cellIs" dxfId="54" priority="1" operator="lessThan">
      <formula>0</formula>
    </cfRule>
    <cfRule type="cellIs" dxfId="53" priority="2" operator="greaterThan">
      <formula>0</formula>
    </cfRule>
  </conditionalFormatting>
  <conditionalFormatting sqref="B32">
    <cfRule type="cellIs" dxfId="52" priority="3" operator="equal">
      <formula>"Overvalued"</formula>
    </cfRule>
    <cfRule type="expression" dxfId="51" priority="4">
      <formula>IF(OR($B$32="Fair Value",$B$32="Fair Value - U",$B$32="Fair Value - O"),"True","")</formula>
    </cfRule>
    <cfRule type="cellIs" dxfId="50"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22E4097F-809C-FA40-BFEB-0741830D70DC}">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C4477-0E26-4374-923D-22087DF9A183}">
  <sheetPr codeName="ShBlank5">
    <pageSetUpPr fitToPage="1"/>
  </sheetPr>
  <dimension ref="A1:G34"/>
  <sheetViews>
    <sheetView showGridLines="0" zoomScale="200"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v>46114</v>
      </c>
      <c r="C7" s="2"/>
      <c r="D7" s="2"/>
      <c r="E7" s="2"/>
      <c r="F7" s="2"/>
      <c r="G7" s="1"/>
    </row>
    <row r="8" spans="1:7" ht="18" customHeight="1" x14ac:dyDescent="0.2">
      <c r="A8" s="6" t="s">
        <v>1</v>
      </c>
      <c r="B8" s="26" t="s">
        <v>34</v>
      </c>
      <c r="C8" s="2"/>
      <c r="D8" s="2"/>
      <c r="E8" s="2"/>
      <c r="F8" s="2"/>
      <c r="G8" s="1"/>
    </row>
    <row r="9" spans="1:7" ht="18" customHeight="1" x14ac:dyDescent="0.2">
      <c r="A9" s="6" t="s">
        <v>2</v>
      </c>
      <c r="B9" s="27">
        <v>72.77</v>
      </c>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v>0.26800000000000002</v>
      </c>
      <c r="C12" s="44">
        <v>0.21299999999999999</v>
      </c>
      <c r="D12" s="44">
        <v>0.214</v>
      </c>
      <c r="E12" s="44">
        <v>0.17499999999999999</v>
      </c>
      <c r="F12" s="44">
        <v>0.23499999999999999</v>
      </c>
      <c r="G12" s="1"/>
    </row>
    <row r="13" spans="1:7" ht="18" customHeight="1" x14ac:dyDescent="0.2">
      <c r="A13" s="6" t="s">
        <v>21</v>
      </c>
      <c r="B13" s="45">
        <v>0</v>
      </c>
      <c r="C13" s="45">
        <v>0</v>
      </c>
      <c r="D13" s="45">
        <v>0</v>
      </c>
      <c r="E13" s="45">
        <v>0</v>
      </c>
      <c r="F13" s="45">
        <v>0</v>
      </c>
      <c r="G13" s="1"/>
    </row>
    <row r="14" spans="1:7" ht="18" customHeight="1" x14ac:dyDescent="0.2">
      <c r="A14" s="6" t="s">
        <v>9</v>
      </c>
      <c r="B14" s="46">
        <v>0.1</v>
      </c>
      <c r="C14" s="8"/>
      <c r="D14" s="9"/>
      <c r="E14" s="9"/>
      <c r="F14" s="9"/>
      <c r="G14" s="1"/>
    </row>
    <row r="15" spans="1:7" ht="18" customHeight="1" x14ac:dyDescent="0.2">
      <c r="A15" s="6" t="s">
        <v>27</v>
      </c>
      <c r="B15" s="56">
        <v>8254</v>
      </c>
      <c r="C15" s="10"/>
      <c r="D15" s="2"/>
      <c r="E15" s="2"/>
      <c r="F15" s="2"/>
      <c r="G15" s="1"/>
    </row>
    <row r="16" spans="1:7" ht="18" customHeight="1" x14ac:dyDescent="0.2">
      <c r="A16" s="11" t="s">
        <v>26</v>
      </c>
      <c r="B16" s="57">
        <v>978.27</v>
      </c>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WHAfBC2mxW1I/haRwge48p7kRjAKufe0cnePzxeQ+lhYHzlV6sKj7a2OC9c2cGuRKWPosYPLXgw+FNZSTZXCdQ==" saltValue="D9GBjizq6E6vbcw8QfciXA==" spinCount="100000" sheet="1" objects="1" scenarios="1" selectLockedCells="1"/>
  <protectedRanges>
    <protectedRange sqref="A1:E34 G1:G34 F1:F3 F5:F34" name="Blueprint"/>
  </protectedRanges>
  <conditionalFormatting sqref="B30:D30">
    <cfRule type="cellIs" dxfId="49" priority="1" operator="lessThan">
      <formula>0</formula>
    </cfRule>
    <cfRule type="cellIs" dxfId="48" priority="2" operator="greaterThan">
      <formula>0</formula>
    </cfRule>
  </conditionalFormatting>
  <conditionalFormatting sqref="B32">
    <cfRule type="cellIs" dxfId="47" priority="3" operator="equal">
      <formula>"Overvalued"</formula>
    </cfRule>
    <cfRule type="expression" dxfId="46" priority="4">
      <formula>IF(OR($B$32="Fair Value",$B$32="Fair Value - U",$B$32="Fair Value - O"),"True","")</formula>
    </cfRule>
    <cfRule type="cellIs" dxfId="45"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5D897892-D71C-4FE6-838C-6EA88B6ECF36}">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ADBC1-02EF-DC48-850E-385F7AF4BDE5}">
  <sheetPr codeName="ShBlank6">
    <pageSetUpPr fitToPage="1"/>
  </sheetPr>
  <dimension ref="A1:G34"/>
  <sheetViews>
    <sheetView showGridLines="0" zoomScale="159"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v>46114</v>
      </c>
      <c r="C7" s="2"/>
      <c r="D7" s="2"/>
      <c r="E7" s="2"/>
      <c r="F7" s="2"/>
      <c r="G7" s="1"/>
    </row>
    <row r="8" spans="1:7" ht="18" customHeight="1" x14ac:dyDescent="0.2">
      <c r="A8" s="6" t="s">
        <v>1</v>
      </c>
      <c r="B8" s="26" t="s">
        <v>35</v>
      </c>
      <c r="C8" s="2"/>
      <c r="D8" s="2"/>
      <c r="E8" s="2"/>
      <c r="F8" s="2"/>
      <c r="G8" s="1"/>
    </row>
    <row r="9" spans="1:7" ht="18" customHeight="1" x14ac:dyDescent="0.2">
      <c r="A9" s="6" t="s">
        <v>2</v>
      </c>
      <c r="B9" s="27">
        <v>369.37</v>
      </c>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v>0.33300000000000002</v>
      </c>
      <c r="C12" s="44">
        <v>0.371</v>
      </c>
      <c r="D12" s="44">
        <v>0.38800000000000001</v>
      </c>
      <c r="E12" s="44">
        <v>0.47199999999999998</v>
      </c>
      <c r="F12" s="44">
        <v>0.47099999999999997</v>
      </c>
      <c r="G12" s="1"/>
    </row>
    <row r="13" spans="1:7" ht="18" customHeight="1" x14ac:dyDescent="0.2">
      <c r="A13" s="6" t="s">
        <v>21</v>
      </c>
      <c r="B13" s="45">
        <v>0.7</v>
      </c>
      <c r="C13" s="45">
        <v>0.6</v>
      </c>
      <c r="D13" s="45">
        <v>0.8</v>
      </c>
      <c r="E13" s="45">
        <v>0.9</v>
      </c>
      <c r="F13" s="45">
        <v>0.8</v>
      </c>
      <c r="G13" s="1"/>
    </row>
    <row r="14" spans="1:7" ht="18" customHeight="1" x14ac:dyDescent="0.2">
      <c r="A14" s="6" t="s">
        <v>9</v>
      </c>
      <c r="B14" s="46">
        <v>0.1</v>
      </c>
      <c r="C14" s="8"/>
      <c r="D14" s="9"/>
      <c r="E14" s="9"/>
      <c r="F14" s="9"/>
      <c r="G14" s="1"/>
    </row>
    <row r="15" spans="1:7" ht="18" customHeight="1" x14ac:dyDescent="0.2">
      <c r="A15" s="6" t="s">
        <v>27</v>
      </c>
      <c r="B15" s="56">
        <v>390875</v>
      </c>
      <c r="C15" s="10"/>
      <c r="D15" s="2"/>
      <c r="E15" s="2"/>
      <c r="F15" s="2"/>
      <c r="G15" s="1"/>
    </row>
    <row r="16" spans="1:7" ht="18" customHeight="1" x14ac:dyDescent="0.2">
      <c r="A16" s="11" t="s">
        <v>26</v>
      </c>
      <c r="B16" s="57">
        <v>7426</v>
      </c>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tuDwvSW3TUx9ShOa4J5sHNXk2775DN+v3nZVEqeJFeHNl4Ii8OxerzDHElQeYi1y9YqPov4kEp9+6Om+4RF55g==" saltValue="mMPnsWeAQoEzk5dv/BEyDg==" spinCount="100000" sheet="1" objects="1" scenarios="1" selectLockedCells="1"/>
  <protectedRanges>
    <protectedRange sqref="A1:E34 G1:G34 F1:F3 F5:F34" name="Blueprint"/>
  </protectedRanges>
  <conditionalFormatting sqref="B30:D30">
    <cfRule type="cellIs" dxfId="44" priority="1" operator="lessThan">
      <formula>0</formula>
    </cfRule>
    <cfRule type="cellIs" dxfId="43" priority="2" operator="greaterThan">
      <formula>0</formula>
    </cfRule>
  </conditionalFormatting>
  <conditionalFormatting sqref="B32">
    <cfRule type="cellIs" dxfId="42" priority="3" operator="equal">
      <formula>"Overvalued"</formula>
    </cfRule>
    <cfRule type="expression" dxfId="41" priority="4">
      <formula>IF(OR($B$32="Fair Value",$B$32="Fair Value - U",$B$32="Fair Value - O"),"True","")</formula>
    </cfRule>
    <cfRule type="cellIs" dxfId="40"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D95FC64A-B786-3C49-8AD6-2FA2BC462D06}">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D770E-0EE3-D348-B834-C21EF6A61709}">
  <sheetPr codeName="ShBlank21">
    <pageSetUpPr fitToPage="1"/>
  </sheetPr>
  <dimension ref="A1:G34"/>
  <sheetViews>
    <sheetView showGridLines="0" topLeftCell="A9" zoomScale="150"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v>46133</v>
      </c>
      <c r="C7" s="2"/>
      <c r="D7" s="2"/>
      <c r="E7" s="2"/>
      <c r="F7" s="2"/>
      <c r="G7" s="1"/>
    </row>
    <row r="8" spans="1:7" ht="18" customHeight="1" x14ac:dyDescent="0.2">
      <c r="A8" s="6" t="s">
        <v>1</v>
      </c>
      <c r="B8" s="26" t="s">
        <v>46</v>
      </c>
      <c r="C8" s="2"/>
      <c r="D8" s="2"/>
      <c r="E8" s="2"/>
      <c r="F8" s="2"/>
      <c r="G8" s="1"/>
    </row>
    <row r="9" spans="1:7" ht="18" customHeight="1" x14ac:dyDescent="0.2">
      <c r="A9" s="6" t="s">
        <v>2</v>
      </c>
      <c r="B9" s="27">
        <v>133.25</v>
      </c>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v>0.17349999999999999</v>
      </c>
      <c r="C12" s="44">
        <v>0.17699999999999999</v>
      </c>
      <c r="D12" s="44">
        <v>0.13009999999999999</v>
      </c>
      <c r="E12" s="44">
        <v>0.10589999999999999</v>
      </c>
      <c r="F12" s="44">
        <v>0.17469999999999999</v>
      </c>
      <c r="G12" s="1"/>
    </row>
    <row r="13" spans="1:7" ht="18" customHeight="1" x14ac:dyDescent="0.2">
      <c r="A13" s="6" t="s">
        <v>21</v>
      </c>
      <c r="B13" s="45">
        <v>0.61699999999999999</v>
      </c>
      <c r="C13" s="45">
        <v>0.62</v>
      </c>
      <c r="D13" s="45">
        <v>0.83</v>
      </c>
      <c r="E13" s="45">
        <v>0.97</v>
      </c>
      <c r="F13" s="45">
        <v>0.56999999999999995</v>
      </c>
      <c r="G13" s="1"/>
    </row>
    <row r="14" spans="1:7" ht="18" customHeight="1" x14ac:dyDescent="0.2">
      <c r="A14" s="6" t="s">
        <v>9</v>
      </c>
      <c r="B14" s="46">
        <v>0.1</v>
      </c>
      <c r="C14" s="8"/>
      <c r="D14" s="9"/>
      <c r="E14" s="9"/>
      <c r="F14" s="9"/>
      <c r="G14" s="1"/>
    </row>
    <row r="15" spans="1:7" ht="18" customHeight="1" x14ac:dyDescent="0.2">
      <c r="A15" s="6" t="s">
        <v>27</v>
      </c>
      <c r="B15" s="56">
        <v>1030</v>
      </c>
      <c r="C15" s="10"/>
      <c r="D15" s="2"/>
      <c r="E15" s="2"/>
      <c r="F15" s="2"/>
      <c r="G15" s="1"/>
    </row>
    <row r="16" spans="1:7" ht="18" customHeight="1" x14ac:dyDescent="0.2">
      <c r="A16" s="11" t="s">
        <v>26</v>
      </c>
      <c r="B16" s="57">
        <v>27.41</v>
      </c>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Za2lG9mBMLjtc8x0ST35h6J9JtNX4np5N5k7K/6wxn2um52KIL31PY/QvO5FeLeUKzBvWYeCCfKrBJWOVzhCxg==" saltValue="LlkGZXc7I/C1FLo2dA85Lg==" spinCount="100000" sheet="1" objects="1" scenarios="1" selectLockedCells="1"/>
  <protectedRanges>
    <protectedRange sqref="A1:E34 G1:G34 F1:F3 F5:F34" name="Blueprint"/>
  </protectedRanges>
  <conditionalFormatting sqref="B30:D30">
    <cfRule type="cellIs" dxfId="39" priority="1" operator="lessThan">
      <formula>0</formula>
    </cfRule>
    <cfRule type="cellIs" dxfId="38" priority="2" operator="greaterThan">
      <formula>0</formula>
    </cfRule>
  </conditionalFormatting>
  <conditionalFormatting sqref="B32">
    <cfRule type="cellIs" dxfId="37" priority="3" operator="equal">
      <formula>"Overvalued"</formula>
    </cfRule>
    <cfRule type="expression" dxfId="36" priority="4">
      <formula>IF(OR($B$32="Fair Value",$B$32="Fair Value - U",$B$32="Fair Value - O"),"True","")</formula>
    </cfRule>
    <cfRule type="cellIs" dxfId="35"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030F966A-8498-F24B-B3E5-B9C79FEAFE8F}">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5991F-6218-1B47-B97C-B4AB0F076189}">
  <sheetPr codeName="ShBlank14">
    <pageSetUpPr fitToPage="1"/>
  </sheetPr>
  <dimension ref="A1:G34"/>
  <sheetViews>
    <sheetView showGridLines="0" topLeftCell="A6" zoomScale="150"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v>46127</v>
      </c>
      <c r="C7" s="2"/>
      <c r="D7" s="2"/>
      <c r="E7" s="2"/>
      <c r="F7" s="2"/>
      <c r="G7" s="1"/>
    </row>
    <row r="8" spans="1:7" ht="18" customHeight="1" x14ac:dyDescent="0.2">
      <c r="A8" s="6" t="s">
        <v>1</v>
      </c>
      <c r="B8" s="26" t="s">
        <v>39</v>
      </c>
      <c r="C8" s="2"/>
      <c r="D8" s="2"/>
      <c r="E8" s="2"/>
      <c r="F8" s="2"/>
      <c r="G8" s="1"/>
    </row>
    <row r="9" spans="1:7" ht="18" customHeight="1" x14ac:dyDescent="0.2">
      <c r="A9" s="6" t="s">
        <v>2</v>
      </c>
      <c r="B9" s="27">
        <v>43.93</v>
      </c>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v>0.55000000000000004</v>
      </c>
      <c r="C12" s="44">
        <v>0.43099999999999999</v>
      </c>
      <c r="D12" s="44">
        <v>0.34599999999999997</v>
      </c>
      <c r="E12" s="44">
        <v>0.40100000000000002</v>
      </c>
      <c r="F12" s="44">
        <v>0.23300000000000001</v>
      </c>
      <c r="G12" s="1"/>
    </row>
    <row r="13" spans="1:7" ht="18" customHeight="1" x14ac:dyDescent="0.2">
      <c r="A13" s="6" t="s">
        <v>21</v>
      </c>
      <c r="B13" s="45">
        <v>0.71</v>
      </c>
      <c r="C13" s="45">
        <v>0.38</v>
      </c>
      <c r="D13" s="45">
        <v>0.39700000000000002</v>
      </c>
      <c r="E13" s="45">
        <v>0.3</v>
      </c>
      <c r="F13" s="45">
        <v>0.28599999999999998</v>
      </c>
      <c r="G13" s="1"/>
    </row>
    <row r="14" spans="1:7" ht="18" customHeight="1" x14ac:dyDescent="0.2">
      <c r="A14" s="6" t="s">
        <v>9</v>
      </c>
      <c r="B14" s="46">
        <v>0.1</v>
      </c>
      <c r="C14" s="8"/>
      <c r="D14" s="9"/>
      <c r="E14" s="9"/>
      <c r="F14" s="9"/>
      <c r="G14" s="1"/>
    </row>
    <row r="15" spans="1:7" ht="18" customHeight="1" x14ac:dyDescent="0.2">
      <c r="A15" s="6" t="s">
        <v>27</v>
      </c>
      <c r="B15" s="56">
        <v>14090</v>
      </c>
      <c r="C15" s="10"/>
      <c r="D15" s="2"/>
      <c r="E15" s="2"/>
      <c r="F15" s="2"/>
      <c r="G15" s="1"/>
    </row>
    <row r="16" spans="1:7" ht="18" customHeight="1" x14ac:dyDescent="0.2">
      <c r="A16" s="11" t="s">
        <v>26</v>
      </c>
      <c r="B16" s="57">
        <v>1481</v>
      </c>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kTWrxrLpS+TpFx0INhkGDh4u2CPlp+teiR4LAmrTm9ptiWyGR87J1QPszXP451AlBZvYB44rWfiXuZ7QjIdXqQ==" saltValue="4m6kDadpxjQ0Dm8+ewvWgw==" spinCount="100000" sheet="1" objects="1" scenarios="1" selectLockedCells="1"/>
  <protectedRanges>
    <protectedRange sqref="A1:E34 G1:G34 F1:F3 F5:F34" name="Blueprint"/>
  </protectedRanges>
  <conditionalFormatting sqref="B30:D30">
    <cfRule type="cellIs" dxfId="34" priority="1" operator="lessThan">
      <formula>0</formula>
    </cfRule>
    <cfRule type="cellIs" dxfId="33" priority="2" operator="greaterThan">
      <formula>0</formula>
    </cfRule>
  </conditionalFormatting>
  <conditionalFormatting sqref="B32">
    <cfRule type="cellIs" dxfId="32" priority="3" operator="equal">
      <formula>"Overvalued"</formula>
    </cfRule>
    <cfRule type="expression" dxfId="31" priority="4">
      <formula>IF(OR($B$32="Fair Value",$B$32="Fair Value - U",$B$32="Fair Value - O"),"True","")</formula>
    </cfRule>
    <cfRule type="cellIs" dxfId="30"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49C4BA35-0A5B-0644-9405-9A2F7A0030F5}">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EDE5F-FFD0-CB4C-B9B3-FED485528FA5}">
  <sheetPr codeName="ShBlank18">
    <pageSetUpPr fitToPage="1"/>
  </sheetPr>
  <dimension ref="A1:G34"/>
  <sheetViews>
    <sheetView showGridLines="0" zoomScale="220"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v>46139</v>
      </c>
      <c r="C7" s="2"/>
      <c r="D7" s="2"/>
      <c r="E7" s="2"/>
      <c r="F7" s="2"/>
      <c r="G7" s="1"/>
    </row>
    <row r="8" spans="1:7" ht="18" customHeight="1" x14ac:dyDescent="0.2">
      <c r="A8" s="6" t="s">
        <v>1</v>
      </c>
      <c r="B8" s="26" t="s">
        <v>48</v>
      </c>
      <c r="C8" s="2"/>
      <c r="D8" s="2"/>
      <c r="E8" s="2"/>
      <c r="F8" s="2"/>
      <c r="G8" s="1"/>
    </row>
    <row r="9" spans="1:7" ht="18" customHeight="1" x14ac:dyDescent="0.2">
      <c r="A9" s="6" t="s">
        <v>2</v>
      </c>
      <c r="B9" s="27">
        <v>110.58</v>
      </c>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v>0.224</v>
      </c>
      <c r="C12" s="44">
        <v>0.22600000000000001</v>
      </c>
      <c r="D12" s="44">
        <v>0.25480000000000003</v>
      </c>
      <c r="E12" s="44">
        <v>0.19500000000000001</v>
      </c>
      <c r="F12" s="44">
        <v>0.19</v>
      </c>
      <c r="G12" s="1"/>
    </row>
    <row r="13" spans="1:7" ht="18" customHeight="1" x14ac:dyDescent="0.2">
      <c r="A13" s="6" t="s">
        <v>21</v>
      </c>
      <c r="B13" s="45">
        <v>0.40660000000000002</v>
      </c>
      <c r="C13" s="45">
        <v>0.4032</v>
      </c>
      <c r="D13" s="45">
        <v>0.4002</v>
      </c>
      <c r="E13" s="45">
        <v>0.31</v>
      </c>
      <c r="F13" s="45">
        <v>0.29520000000000002</v>
      </c>
      <c r="G13" s="1"/>
    </row>
    <row r="14" spans="1:7" ht="18" customHeight="1" x14ac:dyDescent="0.2">
      <c r="A14" s="6" t="s">
        <v>9</v>
      </c>
      <c r="B14" s="46">
        <v>0.1</v>
      </c>
      <c r="C14" s="8"/>
      <c r="D14" s="9"/>
      <c r="E14" s="9"/>
      <c r="F14" s="9"/>
      <c r="G14" s="1"/>
    </row>
    <row r="15" spans="1:7" ht="18" customHeight="1" x14ac:dyDescent="0.2">
      <c r="A15" s="6" t="s">
        <v>27</v>
      </c>
      <c r="B15" s="56">
        <v>23630</v>
      </c>
      <c r="C15" s="10"/>
      <c r="D15" s="2"/>
      <c r="E15" s="2"/>
      <c r="F15" s="2"/>
      <c r="G15" s="1"/>
    </row>
    <row r="16" spans="1:7" ht="18" customHeight="1" x14ac:dyDescent="0.2">
      <c r="A16" s="11" t="s">
        <v>26</v>
      </c>
      <c r="B16" s="57">
        <v>643.63</v>
      </c>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A8LqNWnuGqpIGdk39Bg/AgJMVYzdmZuTt/aMoEaEkxH0mnQQ8vgQ+m5EW2HwFpyeFE/TnbSy57coGVCrUEdoGg==" saltValue="V6DV6Z/Gcrz8jyJmEzQTnA==" spinCount="100000" sheet="1" objects="1" scenarios="1" selectLockedCells="1"/>
  <protectedRanges>
    <protectedRange sqref="A1:E34 G1:G34 F1:F3 F5:F34" name="Blueprint"/>
  </protectedRanges>
  <conditionalFormatting sqref="B30:D30">
    <cfRule type="cellIs" dxfId="29" priority="1" operator="lessThan">
      <formula>0</formula>
    </cfRule>
    <cfRule type="cellIs" dxfId="28" priority="2" operator="greaterThan">
      <formula>0</formula>
    </cfRule>
  </conditionalFormatting>
  <conditionalFormatting sqref="B32">
    <cfRule type="cellIs" dxfId="27" priority="3" operator="equal">
      <formula>"Overvalued"</formula>
    </cfRule>
    <cfRule type="expression" dxfId="26" priority="4">
      <formula>IF(OR($B$32="Fair Value",$B$32="Fair Value - U",$B$32="Fair Value - O"),"True","")</formula>
    </cfRule>
    <cfRule type="cellIs" dxfId="25"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8F664B0B-D797-EE40-9D24-4533C18F153E}">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2240C-1C80-F846-941A-7F6F142788D9}">
  <sheetPr codeName="ShBlank12">
    <pageSetUpPr fitToPage="1"/>
  </sheetPr>
  <dimension ref="A1:G34"/>
  <sheetViews>
    <sheetView showGridLines="0" zoomScale="167"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v>46130</v>
      </c>
      <c r="C7" s="2"/>
      <c r="D7" s="2"/>
      <c r="E7" s="2"/>
      <c r="F7" s="2"/>
      <c r="G7" s="1"/>
    </row>
    <row r="8" spans="1:7" ht="18" customHeight="1" x14ac:dyDescent="0.2">
      <c r="A8" s="6" t="s">
        <v>1</v>
      </c>
      <c r="B8" s="26" t="s">
        <v>43</v>
      </c>
      <c r="C8" s="2"/>
      <c r="D8" s="2"/>
      <c r="E8" s="2"/>
      <c r="F8" s="2"/>
      <c r="G8" s="1"/>
    </row>
    <row r="9" spans="1:7" ht="18" customHeight="1" x14ac:dyDescent="0.2">
      <c r="A9" s="6" t="s">
        <v>2</v>
      </c>
      <c r="B9" s="27">
        <v>79.48</v>
      </c>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v>0.1734</v>
      </c>
      <c r="C12" s="44">
        <v>0.15920000000000001</v>
      </c>
      <c r="D12" s="44">
        <v>0.13830000000000001</v>
      </c>
      <c r="E12" s="44">
        <v>0.1109</v>
      </c>
      <c r="F12" s="44">
        <v>0.15359999999999999</v>
      </c>
      <c r="G12" s="1"/>
    </row>
    <row r="13" spans="1:7" ht="18" customHeight="1" x14ac:dyDescent="0.2">
      <c r="A13" s="6" t="s">
        <v>21</v>
      </c>
      <c r="B13" s="45">
        <v>0.3453</v>
      </c>
      <c r="C13" s="45">
        <v>0.28999999999999998</v>
      </c>
      <c r="D13" s="45">
        <v>0.31</v>
      </c>
      <c r="E13" s="45">
        <v>0.35</v>
      </c>
      <c r="F13" s="45">
        <v>0.21</v>
      </c>
      <c r="G13" s="1"/>
    </row>
    <row r="14" spans="1:7" ht="18" customHeight="1" x14ac:dyDescent="0.2">
      <c r="A14" s="6" t="s">
        <v>9</v>
      </c>
      <c r="B14" s="46">
        <v>0.1</v>
      </c>
      <c r="C14" s="8"/>
      <c r="D14" s="9"/>
      <c r="E14" s="9"/>
      <c r="F14" s="9"/>
      <c r="G14" s="1"/>
    </row>
    <row r="15" spans="1:7" ht="18" customHeight="1" x14ac:dyDescent="0.2">
      <c r="A15" s="6" t="s">
        <v>27</v>
      </c>
      <c r="B15" s="56">
        <v>2040</v>
      </c>
      <c r="C15" s="10"/>
      <c r="D15" s="2"/>
      <c r="E15" s="2"/>
      <c r="F15" s="2"/>
      <c r="G15" s="1"/>
    </row>
    <row r="16" spans="1:7" ht="18" customHeight="1" x14ac:dyDescent="0.2">
      <c r="A16" s="11" t="s">
        <v>26</v>
      </c>
      <c r="B16" s="57">
        <v>164.94</v>
      </c>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RIBfTAoi3Nfn2DJFoTv0Hhgw5WHOcULiwSqAYAmcQ4lEDKUe7M3GWSg5zdfVPrc4i9SFSxYINNmI83wY0E1QDQ==" saltValue="zcqovtr8kXPbrvFjFmf5Rw==" spinCount="100000" sheet="1" objects="1" scenarios="1" selectLockedCells="1"/>
  <protectedRanges>
    <protectedRange sqref="A1:E34 G1:G34 F1:F3 F5:F34" name="Blueprint"/>
  </protectedRanges>
  <conditionalFormatting sqref="B30:D30">
    <cfRule type="cellIs" dxfId="24" priority="1" operator="lessThan">
      <formula>0</formula>
    </cfRule>
    <cfRule type="cellIs" dxfId="23" priority="2" operator="greaterThan">
      <formula>0</formula>
    </cfRule>
  </conditionalFormatting>
  <conditionalFormatting sqref="B32">
    <cfRule type="cellIs" dxfId="22" priority="3" operator="equal">
      <formula>"Overvalued"</formula>
    </cfRule>
    <cfRule type="expression" dxfId="21" priority="4">
      <formula>IF(OR($B$32="Fair Value",$B$32="Fair Value - U",$B$32="Fair Value - O"),"True","")</formula>
    </cfRule>
    <cfRule type="cellIs" dxfId="20"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BC901FF2-0966-0B4E-B9E2-90B8DB4B17F6}">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067EE-EB4D-3F4C-862B-DBDE11CC21D4}">
  <sheetPr codeName="ShBlank25">
    <pageSetUpPr fitToPage="1"/>
  </sheetPr>
  <dimension ref="A1:G34"/>
  <sheetViews>
    <sheetView showGridLines="0" topLeftCell="A14" zoomScale="200"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v>46139</v>
      </c>
      <c r="C7" s="2"/>
      <c r="D7" s="2"/>
      <c r="E7" s="2"/>
      <c r="F7" s="2"/>
      <c r="G7" s="1"/>
    </row>
    <row r="8" spans="1:7" ht="18" customHeight="1" x14ac:dyDescent="0.2">
      <c r="A8" s="6" t="s">
        <v>1</v>
      </c>
      <c r="B8" s="26" t="s">
        <v>54</v>
      </c>
      <c r="C8" s="2"/>
      <c r="D8" s="2"/>
      <c r="E8" s="2"/>
      <c r="F8" s="2"/>
      <c r="G8" s="1"/>
    </row>
    <row r="9" spans="1:7" ht="18" customHeight="1" x14ac:dyDescent="0.2">
      <c r="A9" s="6" t="s">
        <v>2</v>
      </c>
      <c r="B9" s="27">
        <v>32.35</v>
      </c>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v>0.16550000000000001</v>
      </c>
      <c r="C12" s="44">
        <v>0.16389999999999999</v>
      </c>
      <c r="D12" s="44">
        <v>0.18840000000000001</v>
      </c>
      <c r="E12" s="44">
        <v>0.13930000000000001</v>
      </c>
      <c r="F12" s="44">
        <v>0.18179999999999999</v>
      </c>
      <c r="G12" s="1"/>
    </row>
    <row r="13" spans="1:7" ht="18" customHeight="1" x14ac:dyDescent="0.2">
      <c r="A13" s="6" t="s">
        <v>21</v>
      </c>
      <c r="B13" s="45">
        <v>0.23</v>
      </c>
      <c r="C13" s="45">
        <v>0.22</v>
      </c>
      <c r="D13" s="45">
        <v>0.1</v>
      </c>
      <c r="E13" s="45">
        <v>0</v>
      </c>
      <c r="F13" s="45">
        <v>0</v>
      </c>
      <c r="G13" s="1"/>
    </row>
    <row r="14" spans="1:7" ht="18" customHeight="1" x14ac:dyDescent="0.2">
      <c r="A14" s="6" t="s">
        <v>9</v>
      </c>
      <c r="B14" s="46">
        <v>0.1</v>
      </c>
      <c r="C14" s="8"/>
      <c r="D14" s="9"/>
      <c r="E14" s="9"/>
      <c r="F14" s="9"/>
      <c r="G14" s="1"/>
    </row>
    <row r="15" spans="1:7" ht="18" customHeight="1" x14ac:dyDescent="0.2">
      <c r="A15" s="6" t="s">
        <v>27</v>
      </c>
      <c r="B15" s="56">
        <v>972.41</v>
      </c>
      <c r="C15" s="10"/>
      <c r="D15" s="2"/>
      <c r="E15" s="2"/>
      <c r="F15" s="2"/>
      <c r="G15" s="1"/>
    </row>
    <row r="16" spans="1:7" ht="18" customHeight="1" x14ac:dyDescent="0.2">
      <c r="A16" s="11" t="s">
        <v>26</v>
      </c>
      <c r="B16" s="57">
        <v>66.16</v>
      </c>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AaJnWJHeO2ds/rTzH1K8JTjYqcJuSNHZix4q0uV7TC0dJzTY5+ypFCG1VjbXuq6BaKmUNUvWlkhHRibpKZHoDA==" saltValue="q4DJmX1ezU/DE9uCb6hsWw==" spinCount="100000" sheet="1" objects="1" scenarios="1" selectLockedCells="1"/>
  <protectedRanges>
    <protectedRange sqref="A1:E34 G1:G34 F1:F3 F5:F34" name="Blueprint"/>
  </protectedRanges>
  <conditionalFormatting sqref="B30:D30">
    <cfRule type="cellIs" dxfId="19" priority="1" operator="lessThan">
      <formula>0</formula>
    </cfRule>
    <cfRule type="cellIs" dxfId="18" priority="2" operator="greaterThan">
      <formula>0</formula>
    </cfRule>
  </conditionalFormatting>
  <conditionalFormatting sqref="B32">
    <cfRule type="cellIs" dxfId="17" priority="3" operator="equal">
      <formula>"Overvalued"</formula>
    </cfRule>
    <cfRule type="expression" dxfId="16" priority="4">
      <formula>IF(OR($B$32="Fair Value",$B$32="Fair Value - U",$B$32="Fair Value - O"),"True","")</formula>
    </cfRule>
    <cfRule type="cellIs" dxfId="15"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55509261-B3B4-7A45-8B49-8E0CC991F2B8}">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F9D9C-E0BD-A645-92F7-ABB60C9BD150}">
  <sheetPr codeName="ShBlank7">
    <pageSetUpPr fitToPage="1"/>
  </sheetPr>
  <dimension ref="A1:G34"/>
  <sheetViews>
    <sheetView showGridLines="0" zoomScale="183"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v>46114</v>
      </c>
      <c r="C7" s="2"/>
      <c r="D7" s="2"/>
      <c r="E7" s="2"/>
      <c r="F7" s="2"/>
      <c r="G7" s="1"/>
    </row>
    <row r="8" spans="1:7" ht="18" customHeight="1" x14ac:dyDescent="0.2">
      <c r="A8" s="6" t="s">
        <v>1</v>
      </c>
      <c r="B8" s="26" t="s">
        <v>36</v>
      </c>
      <c r="C8" s="2"/>
      <c r="D8" s="2"/>
      <c r="E8" s="2"/>
      <c r="F8" s="2"/>
      <c r="G8" s="1"/>
    </row>
    <row r="9" spans="1:7" ht="18" customHeight="1" x14ac:dyDescent="0.2">
      <c r="A9" s="6" t="s">
        <v>2</v>
      </c>
      <c r="B9" s="27">
        <v>127.28</v>
      </c>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v>0.23300000000000001</v>
      </c>
      <c r="C12" s="44">
        <v>0.42299999999999999</v>
      </c>
      <c r="D12" s="44">
        <v>0.371</v>
      </c>
      <c r="E12" s="44">
        <v>0.92900000000000005</v>
      </c>
      <c r="F12" s="44">
        <v>1.1279999999999999</v>
      </c>
      <c r="G12" s="1"/>
    </row>
    <row r="13" spans="1:7" ht="18" customHeight="1" x14ac:dyDescent="0.2">
      <c r="A13" s="6" t="s">
        <v>21</v>
      </c>
      <c r="B13" s="45">
        <v>0.33</v>
      </c>
      <c r="C13" s="45">
        <v>0.25</v>
      </c>
      <c r="D13" s="45">
        <v>0.47</v>
      </c>
      <c r="E13" s="45">
        <v>0.36</v>
      </c>
      <c r="F13" s="45">
        <v>0.69</v>
      </c>
      <c r="G13" s="1"/>
    </row>
    <row r="14" spans="1:7" ht="18" customHeight="1" x14ac:dyDescent="0.2">
      <c r="A14" s="6" t="s">
        <v>9</v>
      </c>
      <c r="B14" s="46">
        <v>0.1</v>
      </c>
      <c r="C14" s="8"/>
      <c r="D14" s="9"/>
      <c r="E14" s="9"/>
      <c r="F14" s="9"/>
      <c r="G14" s="1"/>
    </row>
    <row r="15" spans="1:7" ht="18" customHeight="1" x14ac:dyDescent="0.2">
      <c r="A15" s="6" t="s">
        <v>27</v>
      </c>
      <c r="B15" s="56">
        <v>23073</v>
      </c>
      <c r="C15" s="10"/>
      <c r="D15" s="2"/>
      <c r="E15" s="2"/>
      <c r="F15" s="2"/>
      <c r="G15" s="1"/>
    </row>
    <row r="16" spans="1:7" ht="18" customHeight="1" x14ac:dyDescent="0.2">
      <c r="A16" s="11" t="s">
        <v>26</v>
      </c>
      <c r="B16" s="57">
        <v>1067</v>
      </c>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noRtaNZ6bWWXLOShPCp52wpADFSb1SuFlYN9YnzQg83lFGPkyNxe2DTjrUEjMRQQa9Lt2LhuAyAGC7x7RrpVzw==" saltValue="Vl4auNcRLQC4AFRY89yVSA==" spinCount="100000" sheet="1" objects="1" scenarios="1" selectLockedCells="1"/>
  <protectedRanges>
    <protectedRange sqref="A1:E34 G1:G34 F1:F3 F5:F34" name="Blueprint"/>
  </protectedRanges>
  <conditionalFormatting sqref="B30:D30">
    <cfRule type="cellIs" dxfId="14" priority="1" operator="lessThan">
      <formula>0</formula>
    </cfRule>
    <cfRule type="cellIs" dxfId="13" priority="2" operator="greaterThan">
      <formula>0</formula>
    </cfRule>
  </conditionalFormatting>
  <conditionalFormatting sqref="B32">
    <cfRule type="cellIs" dxfId="12" priority="3" operator="equal">
      <formula>"Overvalued"</formula>
    </cfRule>
    <cfRule type="expression" dxfId="11" priority="4">
      <formula>IF(OR($B$32="Fair Value",$B$32="Fair Value - U",$B$32="Fair Value - O"),"True","")</formula>
    </cfRule>
    <cfRule type="cellIs" dxfId="10"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DDA0F42C-56ED-F24A-9861-DA4479034AA8}">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C7D11-2C1E-7C46-ABD4-1289B09AE872}">
  <sheetPr codeName="ShBlank20">
    <pageSetUpPr fitToPage="1"/>
  </sheetPr>
  <dimension ref="A1:G34"/>
  <sheetViews>
    <sheetView showGridLines="0" topLeftCell="A15" zoomScale="200"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v>46139</v>
      </c>
      <c r="C7" s="2"/>
      <c r="D7" s="2"/>
      <c r="E7" s="2"/>
      <c r="F7" s="2"/>
      <c r="G7" s="1"/>
    </row>
    <row r="8" spans="1:7" ht="18" customHeight="1" x14ac:dyDescent="0.2">
      <c r="A8" s="6" t="s">
        <v>1</v>
      </c>
      <c r="B8" s="26" t="s">
        <v>50</v>
      </c>
      <c r="C8" s="2"/>
      <c r="D8" s="2"/>
      <c r="E8" s="2"/>
      <c r="F8" s="2"/>
      <c r="G8" s="1"/>
    </row>
    <row r="9" spans="1:7" ht="18" customHeight="1" x14ac:dyDescent="0.2">
      <c r="A9" s="6" t="s">
        <v>2</v>
      </c>
      <c r="B9" s="27">
        <v>219.85</v>
      </c>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v>0.2586</v>
      </c>
      <c r="C12" s="44">
        <v>0.22700000000000001</v>
      </c>
      <c r="D12" s="44">
        <v>0.23960000000000001</v>
      </c>
      <c r="E12" s="44">
        <v>0.24959999999999999</v>
      </c>
      <c r="F12" s="44">
        <v>0.17630000000000001</v>
      </c>
      <c r="G12" s="1"/>
    </row>
    <row r="13" spans="1:7" ht="18" customHeight="1" x14ac:dyDescent="0.2">
      <c r="A13" s="6" t="s">
        <v>21</v>
      </c>
      <c r="B13" s="45">
        <v>0.22</v>
      </c>
      <c r="C13" s="45">
        <v>0.28000000000000003</v>
      </c>
      <c r="D13" s="45">
        <v>0.28999999999999998</v>
      </c>
      <c r="E13" s="45">
        <v>0.32</v>
      </c>
      <c r="F13" s="45">
        <v>0.48</v>
      </c>
      <c r="G13" s="1"/>
    </row>
    <row r="14" spans="1:7" ht="18" customHeight="1" x14ac:dyDescent="0.2">
      <c r="A14" s="6" t="s">
        <v>9</v>
      </c>
      <c r="B14" s="46">
        <v>0.1</v>
      </c>
      <c r="C14" s="8"/>
      <c r="D14" s="9"/>
      <c r="E14" s="9"/>
      <c r="F14" s="9"/>
      <c r="G14" s="1"/>
    </row>
    <row r="15" spans="1:7" ht="18" customHeight="1" x14ac:dyDescent="0.2">
      <c r="A15" s="6" t="s">
        <v>27</v>
      </c>
      <c r="B15" s="56">
        <v>5970</v>
      </c>
      <c r="C15" s="10"/>
      <c r="D15" s="2"/>
      <c r="E15" s="2"/>
      <c r="F15" s="2"/>
      <c r="G15" s="1"/>
    </row>
    <row r="16" spans="1:7" ht="18" customHeight="1" x14ac:dyDescent="0.2">
      <c r="A16" s="11" t="s">
        <v>26</v>
      </c>
      <c r="B16" s="57">
        <v>147.34</v>
      </c>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FlhSqsEBP3cpEmk57+iyokgLEkZCNV+AjWGWYntMlOA8HuMI4P4K6TPjIvZ02qL8CjdLHjZqnfESsBfve6fyaA==" saltValue="uaaUPuqcyhAHotw/l4IO2g==" spinCount="100000" sheet="1" objects="1" scenarios="1" selectLockedCells="1"/>
  <protectedRanges>
    <protectedRange sqref="A1:E34 G1:G34 F1:F3 F5:F34" name="Blueprint"/>
  </protectedRanges>
  <conditionalFormatting sqref="B30:D30">
    <cfRule type="cellIs" dxfId="9" priority="1" operator="lessThan">
      <formula>0</formula>
    </cfRule>
    <cfRule type="cellIs" dxfId="8" priority="2" operator="greaterThan">
      <formula>0</formula>
    </cfRule>
  </conditionalFormatting>
  <conditionalFormatting sqref="B32">
    <cfRule type="cellIs" dxfId="7" priority="3" operator="equal">
      <formula>"Overvalued"</formula>
    </cfRule>
    <cfRule type="expression" dxfId="6" priority="4">
      <formula>IF(OR($B$32="Fair Value",$B$32="Fair Value - U",$B$32="Fair Value - O"),"True","")</formula>
    </cfRule>
    <cfRule type="cellIs" dxfId="5"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D0BCFD24-F779-4F45-9A42-7E52305934E5}">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3F669-2FDA-D549-A2E1-6AB8DBABFA4D}">
  <sheetPr codeName="ShBlank8">
    <pageSetUpPr fitToPage="1"/>
  </sheetPr>
  <dimension ref="A1:G34"/>
  <sheetViews>
    <sheetView showGridLines="0" topLeftCell="A8" zoomScale="206"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v>46114</v>
      </c>
      <c r="C7" s="2"/>
      <c r="D7" s="2"/>
      <c r="E7" s="2"/>
      <c r="F7" s="2"/>
      <c r="G7" s="1"/>
    </row>
    <row r="8" spans="1:7" ht="18" customHeight="1" x14ac:dyDescent="0.2">
      <c r="A8" s="6" t="s">
        <v>1</v>
      </c>
      <c r="B8" s="26" t="s">
        <v>37</v>
      </c>
      <c r="C8" s="2"/>
      <c r="D8" s="2"/>
      <c r="E8" s="2"/>
      <c r="F8" s="2"/>
      <c r="G8" s="1"/>
    </row>
    <row r="9" spans="1:7" ht="18" customHeight="1" x14ac:dyDescent="0.2">
      <c r="A9" s="6" t="s">
        <v>2</v>
      </c>
      <c r="B9" s="27">
        <v>56.06</v>
      </c>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v>0.31</v>
      </c>
      <c r="C12" s="44">
        <v>0.27900000000000003</v>
      </c>
      <c r="D12" s="44">
        <v>0.313</v>
      </c>
      <c r="E12" s="44">
        <v>0.39900000000000002</v>
      </c>
      <c r="F12" s="44">
        <v>0.35399999999999998</v>
      </c>
      <c r="G12" s="1"/>
    </row>
    <row r="13" spans="1:7" ht="18" customHeight="1" x14ac:dyDescent="0.2">
      <c r="A13" s="6" t="s">
        <v>21</v>
      </c>
      <c r="B13" s="45">
        <v>0.68</v>
      </c>
      <c r="C13" s="45">
        <v>0.52</v>
      </c>
      <c r="D13" s="45">
        <v>0.61</v>
      </c>
      <c r="E13" s="45">
        <v>0.68</v>
      </c>
      <c r="F13" s="45">
        <v>0.79</v>
      </c>
      <c r="G13" s="1"/>
    </row>
    <row r="14" spans="1:7" ht="18" customHeight="1" x14ac:dyDescent="0.2">
      <c r="A14" s="6" t="s">
        <v>9</v>
      </c>
      <c r="B14" s="46">
        <v>0.1</v>
      </c>
      <c r="C14" s="8"/>
      <c r="D14" s="9"/>
      <c r="E14" s="9"/>
      <c r="F14" s="9"/>
      <c r="G14" s="1"/>
    </row>
    <row r="15" spans="1:7" ht="18" customHeight="1" x14ac:dyDescent="0.2">
      <c r="A15" s="6" t="s">
        <v>27</v>
      </c>
      <c r="B15" s="56">
        <v>20661</v>
      </c>
      <c r="C15" s="10"/>
      <c r="D15" s="2"/>
      <c r="E15" s="2"/>
      <c r="F15" s="2"/>
      <c r="G15" s="1"/>
    </row>
    <row r="16" spans="1:7" ht="18" customHeight="1" x14ac:dyDescent="0.2">
      <c r="A16" s="11" t="s">
        <v>26</v>
      </c>
      <c r="B16" s="57">
        <v>2179</v>
      </c>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GvcTzDWD/YJKuDu1zZzHJ2J4+pdN9ker1QQYb+F9kuzznlaSUNwb5nd4cS0UBKc412mYi90v0Xjr/DMSGY5T9Q==" saltValue="urzBpi7v+e5G1ZxIRUBxbQ==" spinCount="100000" sheet="1" objects="1" scenarios="1" selectLockedCells="1"/>
  <protectedRanges>
    <protectedRange sqref="A1:E34 G1:G34 F1:F3 F5:F34" name="Blueprint"/>
  </protectedRanges>
  <conditionalFormatting sqref="B30:D30">
    <cfRule type="cellIs" dxfId="4" priority="1" operator="lessThan">
      <formula>0</formula>
    </cfRule>
    <cfRule type="cellIs" dxfId="3" priority="2" operator="greaterThan">
      <formula>0</formula>
    </cfRule>
  </conditionalFormatting>
  <conditionalFormatting sqref="B32">
    <cfRule type="cellIs" dxfId="2" priority="3" operator="equal">
      <formula>"Overvalued"</formula>
    </cfRule>
    <cfRule type="expression" dxfId="1" priority="4">
      <formula>IF(OR($B$32="Fair Value",$B$32="Fair Value - U",$B$32="Fair Value - O"),"True","")</formula>
    </cfRule>
    <cfRule type="cellIs" dxfId="0"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6FAE085E-5BDB-1F4A-8221-1128CDCF5415}">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D78E-7BAE-3D4F-ABB0-A2A0FF921EAA}">
  <sheetPr codeName="ShBlank24">
    <pageSetUpPr fitToPage="1"/>
  </sheetPr>
  <dimension ref="A1:G34"/>
  <sheetViews>
    <sheetView showGridLines="0" tabSelected="1" topLeftCell="A10" zoomScale="172" zoomScaleNormal="110" workbookViewId="0">
      <selection activeCell="B7" sqref="B7"/>
    </sheetView>
  </sheetViews>
  <sheetFormatPr baseColWidth="10" defaultColWidth="0" defaultRowHeight="15" customHeight="1" zeroHeight="1" x14ac:dyDescent="0.2"/>
  <cols>
    <col min="1" max="1" width="20.83203125" style="3" customWidth="1"/>
    <col min="2" max="6" width="13.1640625" style="20" customWidth="1"/>
    <col min="7" max="7" width="7.83203125" style="3" customWidth="1"/>
    <col min="8" max="16384" width="11" style="3" hidden="1"/>
  </cols>
  <sheetData>
    <row r="1" spans="1:7" ht="15" customHeight="1" x14ac:dyDescent="0.2">
      <c r="A1" s="1"/>
      <c r="B1" s="2"/>
      <c r="C1" s="2"/>
      <c r="D1" s="2"/>
      <c r="E1" s="2"/>
      <c r="F1" s="2"/>
      <c r="G1" s="1"/>
    </row>
    <row r="2" spans="1:7" ht="15" customHeight="1" x14ac:dyDescent="0.2">
      <c r="A2" s="1"/>
      <c r="B2" s="2"/>
      <c r="C2" s="2"/>
      <c r="D2" s="2"/>
      <c r="E2" s="2"/>
      <c r="F2" s="2"/>
      <c r="G2" s="1"/>
    </row>
    <row r="3" spans="1:7" x14ac:dyDescent="0.2">
      <c r="A3" s="1"/>
      <c r="B3" s="2"/>
      <c r="C3" s="2"/>
      <c r="D3" s="2"/>
      <c r="E3" s="2"/>
      <c r="F3" s="21"/>
      <c r="G3" s="1"/>
    </row>
    <row r="4" spans="1:7" ht="19" x14ac:dyDescent="0.2">
      <c r="A4" s="4" t="s">
        <v>0</v>
      </c>
      <c r="B4" s="2"/>
      <c r="C4" s="2"/>
      <c r="D4" s="2"/>
      <c r="E4" s="2"/>
      <c r="F4" s="22"/>
      <c r="G4" s="1"/>
    </row>
    <row r="5" spans="1:7" ht="16" x14ac:dyDescent="0.2">
      <c r="A5" s="5"/>
      <c r="B5" s="2"/>
      <c r="C5" s="2"/>
      <c r="D5" s="2"/>
      <c r="E5" s="2"/>
      <c r="F5" s="2"/>
      <c r="G5" s="1"/>
    </row>
    <row r="6" spans="1:7" x14ac:dyDescent="0.2">
      <c r="A6" s="1"/>
      <c r="B6" s="2"/>
      <c r="C6" s="2"/>
      <c r="D6" s="2"/>
      <c r="E6" s="2"/>
      <c r="F6" s="2"/>
      <c r="G6" s="1"/>
    </row>
    <row r="7" spans="1:7" x14ac:dyDescent="0.2">
      <c r="A7" s="6" t="s">
        <v>20</v>
      </c>
      <c r="B7" s="25">
        <v>46142</v>
      </c>
      <c r="C7" s="2"/>
      <c r="D7" s="2"/>
      <c r="E7" s="2"/>
      <c r="F7" s="2"/>
      <c r="G7" s="1"/>
    </row>
    <row r="8" spans="1:7" ht="18" customHeight="1" x14ac:dyDescent="0.2">
      <c r="A8" s="6" t="s">
        <v>1</v>
      </c>
      <c r="B8" s="26" t="s">
        <v>55</v>
      </c>
      <c r="C8" s="2"/>
      <c r="D8" s="2"/>
      <c r="E8" s="2"/>
      <c r="F8" s="2"/>
      <c r="G8" s="1"/>
    </row>
    <row r="9" spans="1:7" ht="18" customHeight="1" x14ac:dyDescent="0.2">
      <c r="A9" s="6" t="s">
        <v>2</v>
      </c>
      <c r="B9" s="27">
        <v>423.24</v>
      </c>
      <c r="C9" s="2"/>
      <c r="D9" s="2"/>
      <c r="E9" s="2"/>
      <c r="F9" s="2"/>
      <c r="G9" s="1"/>
    </row>
    <row r="10" spans="1:7" ht="18" customHeight="1" x14ac:dyDescent="0.2">
      <c r="A10" s="1"/>
      <c r="B10" s="2"/>
      <c r="C10" s="2"/>
      <c r="D10" s="2"/>
      <c r="E10" s="2"/>
      <c r="F10" s="2"/>
      <c r="G10" s="1"/>
    </row>
    <row r="11" spans="1:7" ht="18" customHeight="1" x14ac:dyDescent="0.2">
      <c r="A11" s="28"/>
      <c r="B11" s="29" t="s">
        <v>3</v>
      </c>
      <c r="C11" s="29" t="s">
        <v>4</v>
      </c>
      <c r="D11" s="29" t="s">
        <v>5</v>
      </c>
      <c r="E11" s="29" t="s">
        <v>6</v>
      </c>
      <c r="F11" s="30" t="s">
        <v>7</v>
      </c>
      <c r="G11" s="1"/>
    </row>
    <row r="12" spans="1:7" ht="18" customHeight="1" x14ac:dyDescent="0.2">
      <c r="A12" s="7" t="s">
        <v>8</v>
      </c>
      <c r="B12" s="43">
        <v>0.22539999999999999</v>
      </c>
      <c r="C12" s="44">
        <v>0.22</v>
      </c>
      <c r="D12" s="44">
        <v>0.22989999999999999</v>
      </c>
      <c r="E12" s="44">
        <v>0.2767</v>
      </c>
      <c r="F12" s="44">
        <v>0.24929999999999999</v>
      </c>
      <c r="G12" s="1"/>
    </row>
    <row r="13" spans="1:7" ht="18" customHeight="1" x14ac:dyDescent="0.2">
      <c r="A13" s="6" t="s">
        <v>21</v>
      </c>
      <c r="B13" s="45">
        <v>0</v>
      </c>
      <c r="C13" s="45">
        <v>0</v>
      </c>
      <c r="D13" s="45">
        <v>0</v>
      </c>
      <c r="E13" s="45">
        <v>0</v>
      </c>
      <c r="F13" s="45">
        <v>0</v>
      </c>
      <c r="G13" s="1"/>
    </row>
    <row r="14" spans="1:7" ht="18" customHeight="1" x14ac:dyDescent="0.2">
      <c r="A14" s="6" t="s">
        <v>9</v>
      </c>
      <c r="B14" s="46">
        <v>0.1</v>
      </c>
      <c r="C14" s="8"/>
      <c r="D14" s="9"/>
      <c r="E14" s="9"/>
      <c r="F14" s="9"/>
      <c r="G14" s="1"/>
    </row>
    <row r="15" spans="1:7" ht="18" customHeight="1" x14ac:dyDescent="0.2">
      <c r="A15" s="6" t="s">
        <v>27</v>
      </c>
      <c r="B15" s="56">
        <v>18670</v>
      </c>
      <c r="C15" s="10"/>
      <c r="D15" s="2"/>
      <c r="E15" s="2"/>
      <c r="F15" s="2"/>
      <c r="G15" s="1"/>
    </row>
    <row r="16" spans="1:7" ht="18" customHeight="1" x14ac:dyDescent="0.2">
      <c r="A16" s="11" t="s">
        <v>26</v>
      </c>
      <c r="B16" s="57">
        <v>258</v>
      </c>
      <c r="C16" s="2"/>
      <c r="D16" s="2"/>
      <c r="E16" s="2"/>
      <c r="F16" s="2"/>
      <c r="G16" s="1"/>
    </row>
    <row r="17" spans="1:7" ht="18" customHeight="1" x14ac:dyDescent="0.2">
      <c r="A17" s="12"/>
      <c r="B17" s="2"/>
      <c r="C17" s="2"/>
      <c r="D17" s="2"/>
      <c r="E17" s="2"/>
      <c r="F17" s="2"/>
      <c r="G17" s="1"/>
    </row>
    <row r="18" spans="1:7" ht="18" customHeight="1" x14ac:dyDescent="0.2">
      <c r="A18" s="28"/>
      <c r="B18" s="29" t="s">
        <v>10</v>
      </c>
      <c r="C18" s="29" t="s">
        <v>11</v>
      </c>
      <c r="D18" s="29" t="s">
        <v>12</v>
      </c>
      <c r="E18" s="2"/>
      <c r="F18" s="2"/>
      <c r="G18" s="1"/>
    </row>
    <row r="19" spans="1:7" ht="18" customHeight="1" x14ac:dyDescent="0.2">
      <c r="A19" s="6" t="s">
        <v>13</v>
      </c>
      <c r="B19" s="47"/>
      <c r="C19" s="47"/>
      <c r="D19" s="47"/>
      <c r="E19" s="2"/>
      <c r="F19" s="2"/>
      <c r="G19" s="1"/>
    </row>
    <row r="20" spans="1:7" ht="18" customHeight="1" x14ac:dyDescent="0.2">
      <c r="A20" s="6" t="s">
        <v>14</v>
      </c>
      <c r="B20" s="47"/>
      <c r="C20" s="47"/>
      <c r="D20" s="47"/>
      <c r="E20" s="2"/>
      <c r="F20" s="2"/>
      <c r="G20" s="13"/>
    </row>
    <row r="21" spans="1:7" ht="18" customHeight="1" x14ac:dyDescent="0.2">
      <c r="A21" s="11" t="s">
        <v>15</v>
      </c>
      <c r="B21" s="48"/>
      <c r="C21" s="48"/>
      <c r="D21" s="48"/>
      <c r="E21" s="2"/>
      <c r="F21" s="2"/>
      <c r="G21" s="1"/>
    </row>
    <row r="22" spans="1:7" ht="18" customHeight="1" x14ac:dyDescent="0.2">
      <c r="A22" s="1"/>
      <c r="B22" s="2"/>
      <c r="C22" s="2"/>
      <c r="D22" s="2"/>
      <c r="E22" s="2"/>
      <c r="F22" s="2"/>
      <c r="G22" s="1"/>
    </row>
    <row r="23" spans="1:7" ht="18" customHeight="1" x14ac:dyDescent="0.2">
      <c r="A23" s="14" t="s">
        <v>16</v>
      </c>
      <c r="B23" s="15"/>
      <c r="C23" s="16"/>
      <c r="D23" s="16"/>
      <c r="E23" s="16"/>
      <c r="F23" s="16"/>
      <c r="G23" s="12"/>
    </row>
    <row r="24" spans="1:7" ht="18" customHeight="1" x14ac:dyDescent="0.2">
      <c r="A24" s="12"/>
      <c r="B24" s="17"/>
      <c r="C24" s="16"/>
      <c r="D24" s="16"/>
      <c r="E24" s="16"/>
      <c r="F24" s="16"/>
      <c r="G24" s="12"/>
    </row>
    <row r="25" spans="1:7" ht="18" customHeight="1" x14ac:dyDescent="0.2">
      <c r="A25" s="31"/>
      <c r="B25" s="29" t="s">
        <v>10</v>
      </c>
      <c r="C25" s="31" t="s">
        <v>11</v>
      </c>
      <c r="D25" s="32" t="s">
        <v>12</v>
      </c>
      <c r="E25" s="16"/>
      <c r="F25" s="16"/>
      <c r="G25" s="12"/>
    </row>
    <row r="26" spans="1:7" ht="18" customHeight="1" x14ac:dyDescent="0.2">
      <c r="A26" s="18" t="s">
        <v>17</v>
      </c>
      <c r="B26" s="49"/>
      <c r="C26" s="49"/>
      <c r="D26" s="50"/>
      <c r="E26" s="2"/>
      <c r="F26" s="2"/>
      <c r="G26" s="1"/>
    </row>
    <row r="27" spans="1:7" ht="18" customHeight="1" x14ac:dyDescent="0.2">
      <c r="A27" s="11" t="s">
        <v>18</v>
      </c>
      <c r="B27" s="53"/>
      <c r="C27" s="54"/>
      <c r="D27" s="55"/>
      <c r="E27" s="2"/>
      <c r="F27" s="2"/>
      <c r="G27" s="1"/>
    </row>
    <row r="28" spans="1:7" ht="18" customHeight="1" x14ac:dyDescent="0.2">
      <c r="A28" s="12"/>
      <c r="B28" s="17"/>
      <c r="C28" s="17"/>
      <c r="D28" s="17"/>
      <c r="E28" s="2"/>
      <c r="F28" s="2"/>
      <c r="G28" s="1"/>
    </row>
    <row r="29" spans="1:7" ht="18" customHeight="1" x14ac:dyDescent="0.2">
      <c r="A29" s="1"/>
      <c r="B29" s="2"/>
      <c r="C29" s="2"/>
      <c r="D29" s="2"/>
      <c r="E29" s="2"/>
      <c r="F29" s="2"/>
      <c r="G29" s="1"/>
    </row>
    <row r="30" spans="1:7" ht="18" customHeight="1" x14ac:dyDescent="0.2">
      <c r="A30" s="19" t="s">
        <v>19</v>
      </c>
      <c r="B30" s="51"/>
      <c r="C30" s="51"/>
      <c r="D30" s="52"/>
      <c r="E30" s="2"/>
      <c r="F30" s="2"/>
      <c r="G30" s="1"/>
    </row>
    <row r="31" spans="1:7" ht="16" thickBot="1" x14ac:dyDescent="0.25">
      <c r="A31" s="1"/>
      <c r="B31" s="40"/>
      <c r="C31" s="40"/>
      <c r="D31" s="40"/>
      <c r="E31" s="41">
        <f>SUM(B31:D31)</f>
        <v>0</v>
      </c>
      <c r="F31" s="2"/>
      <c r="G31" s="1"/>
    </row>
    <row r="32" spans="1:7" ht="16" thickBot="1" x14ac:dyDescent="0.25">
      <c r="A32" s="12" t="s">
        <v>28</v>
      </c>
      <c r="B32" s="42"/>
      <c r="C32" s="2"/>
      <c r="D32" s="2"/>
      <c r="E32" s="2"/>
      <c r="F32" s="2"/>
      <c r="G32" s="1"/>
    </row>
    <row r="33" spans="1:7" x14ac:dyDescent="0.2">
      <c r="A33" s="1"/>
      <c r="B33" s="2"/>
      <c r="C33" s="2"/>
      <c r="D33" s="2"/>
      <c r="E33" s="2"/>
      <c r="F33" s="2"/>
      <c r="G33" s="1"/>
    </row>
    <row r="34" spans="1:7" x14ac:dyDescent="0.2">
      <c r="A34" s="1"/>
      <c r="B34" s="2"/>
      <c r="C34" s="2"/>
      <c r="D34" s="2"/>
      <c r="E34" s="2"/>
      <c r="F34" s="2"/>
      <c r="G34" s="1"/>
    </row>
  </sheetData>
  <sheetProtection algorithmName="SHA-512" hashValue="/kS4g1RwOE1AmIzN1iMw148quywa7mU73EcPBwZMPMGE771Xauief4kNGqwLAuROjVRRUJOTiWDGF9KIZ4oTyA==" saltValue="jyqUXGQcDBFj0WvmwblFYg==" spinCount="100000" sheet="1" objects="1" scenarios="1" selectLockedCells="1"/>
  <protectedRanges>
    <protectedRange sqref="A1:E34 G1:G34 F1:F3 F5:F34" name="Blueprint"/>
  </protectedRanges>
  <conditionalFormatting sqref="B30:D30">
    <cfRule type="cellIs" dxfId="143" priority="1" operator="lessThan">
      <formula>0</formula>
    </cfRule>
    <cfRule type="cellIs" dxfId="142" priority="2" operator="greaterThan">
      <formula>0</formula>
    </cfRule>
  </conditionalFormatting>
  <conditionalFormatting sqref="B32">
    <cfRule type="cellIs" dxfId="141" priority="3" operator="equal">
      <formula>"Overvalued"</formula>
    </cfRule>
    <cfRule type="expression" dxfId="140" priority="4">
      <formula>IF(OR($B$32="Fair Value",$B$32="Fair Value - U",$B$32="Fair Value - O"),"True","")</formula>
    </cfRule>
    <cfRule type="cellIs" dxfId="139" priority="5" operator="equal">
      <formula>"Undervalued"</formula>
    </cfRule>
  </conditionalFormatting>
  <dataValidations count="1">
    <dataValidation type="decimal" allowBlank="1" showErrorMessage="1" errorTitle="No negative figures" error="Valuation Calculator can only be used on companies with a history of profitability. Please refer to instructions and Blueprint video._x000a_" prompt=" " sqref="B12:F12" xr:uid="{F8DDBC5D-DE33-9742-A54E-E55DC4D74CDC}">
      <formula1>0</formula1>
      <formula2>1000</formula2>
    </dataValidation>
  </dataValidations>
  <printOptions horizontalCentered="1"/>
  <pageMargins left="0.23622047244094491" right="0.23622047244094491" top="0.74803149606299213" bottom="0.39370078740157483" header="0.31496062992125984" footer="0.31496062992125984"/>
  <pageSetup paperSize="9" scale="98" orientation="portrait" r:id="rId1"/>
  <headerFooter>
    <oddFooter>&amp;R&amp;10&amp;"Calibri"Equity Multiple Valuation | Stock Valuation Calculator&amp;L&amp;10&amp;"Calibri"Copyright © Effective Trading Solutions Pty Ltd, all rights reserved</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28</vt:i4>
      </vt:variant>
      <vt:variant>
        <vt:lpstr>Named Ranges</vt:lpstr>
      </vt:variant>
      <vt:variant>
        <vt:i4>1</vt:i4>
      </vt:variant>
    </vt:vector>
  </HeadingPairs>
  <TitlesOfParts>
    <vt:vector size="29" baseType="lpstr">
      <vt:lpstr>.TABLE OF CONTENTS</vt:lpstr>
      <vt:lpstr>.X</vt:lpstr>
      <vt:lpstr>.X (2)</vt:lpstr>
      <vt:lpstr>.X (3)</vt:lpstr>
      <vt:lpstr>ADBE</vt:lpstr>
      <vt:lpstr>AOS</vt:lpstr>
      <vt:lpstr>ASML</vt:lpstr>
      <vt:lpstr>BMI</vt:lpstr>
      <vt:lpstr>CAN</vt:lpstr>
      <vt:lpstr>CMCSA</vt:lpstr>
      <vt:lpstr>COST</vt:lpstr>
      <vt:lpstr>CTSH</vt:lpstr>
      <vt:lpstr>GGG</vt:lpstr>
      <vt:lpstr>GIS</vt:lpstr>
      <vt:lpstr>GOOGL</vt:lpstr>
      <vt:lpstr>GRMN</vt:lpstr>
      <vt:lpstr>INFY</vt:lpstr>
      <vt:lpstr>MNST</vt:lpstr>
      <vt:lpstr>MSFT</vt:lpstr>
      <vt:lpstr>MZTI</vt:lpstr>
      <vt:lpstr>NKE</vt:lpstr>
      <vt:lpstr>NTES</vt:lpstr>
      <vt:lpstr>NYT</vt:lpstr>
      <vt:lpstr>PRDO</vt:lpstr>
      <vt:lpstr>QCOM</vt:lpstr>
      <vt:lpstr>RMD</vt:lpstr>
      <vt:lpstr>UNLR</vt:lpstr>
      <vt:lpstr>VRTX</vt:lpstr>
      <vt:lpstr>'.TABLE OF CONTENTS'!Print_Titles</vt:lpstr>
    </vt:vector>
  </TitlesOfParts>
  <Company>theFreedom Trader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theFreedomTrader Equity Mulitple Valuation Calculator</dc:title>
  <dc:creator>theFreedomTrader Blueprint</dc:creator>
  <cp:lastModifiedBy>Drew Pfitzner</cp:lastModifiedBy>
  <cp:lastPrinted>2021-08-03T06:31:54Z</cp:lastPrinted>
  <dcterms:created xsi:type="dcterms:W3CDTF">2016-02-22T12:52:24Z</dcterms:created>
  <dcterms:modified xsi:type="dcterms:W3CDTF">2026-05-06T11:41:35Z</dcterms:modified>
</cp:coreProperties>
</file>